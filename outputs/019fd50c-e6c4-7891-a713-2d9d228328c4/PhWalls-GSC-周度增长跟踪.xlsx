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c6ee97f6f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度总览" sheetId="1" r:id="R52fd7bd604cb45b4"/>
    <x:sheet xmlns:r="http://schemas.openxmlformats.org/officeDocument/2006/relationships" name="查询数据" sheetId="2" r:id="Rbbead02b344142b2"/>
    <x:sheet xmlns:r="http://schemas.openxmlformats.org/officeDocument/2006/relationships" name="页面数据" sheetId="3" r:id="R8c1dc5bc72e24ad4"/>
    <x:sheet xmlns:r="http://schemas.openxmlformats.org/officeDocument/2006/relationships" name="品牌词规则" sheetId="4" r:id="Re6f7fa25e58b40ae"/>
    <x:sheet xmlns:r="http://schemas.openxmlformats.org/officeDocument/2006/relationships" name="5xx 跟踪" sheetId="5" r:id="R10770a8911ae442f"/>
    <x:sheet xmlns:r="http://schemas.openxmlformats.org/officeDocument/2006/relationships" name="Direct诊断" sheetId="6" r:id="R5decc53261c149ce"/>
    <x:sheet xmlns:r="http://schemas.openxmlformats.org/officeDocument/2006/relationships" name="使用说明" sheetId="7" r:id="R18438d75c624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"/>
    <x:numFmt numFmtId="202" formatCode="yyyy-mm-dd"/>
    <x:numFmt numFmtId="203" formatCode="#,##0"/>
    <x:numFmt numFmtId="204" formatCode="yyyy-mm-dd hh:mm"/>
    <x:numFmt numFmtId="205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67085"/>
      <x:name val="Carlito"/>
    </x:font>
    <x:font>
      <x:b/>
      <x:sz val="18"/>
      <x:color rgb="FF17212B"/>
      <x:name val="Carlito"/>
    </x:font>
    <x:font>
      <x:b/>
      <x:sz val="11"/>
      <x:color rgb="FF17212B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12B"/>
      <x:name val="Carlito"/>
    </x:font>
    <x:font>
      <x:b/>
      <x:sz val="16"/>
      <x:color rgb="FFFFFFFF"/>
      <x:name val="Aptos"/>
    </x:font>
    <x:font>
      <x:b/>
      <x:sz val="11"/>
      <x:color rgb="FF667085"/>
      <x:name val="Aptos"/>
    </x:font>
    <x:font>
      <x:b/>
      <x:sz val="18"/>
      <x:color rgb="FF17212B"/>
      <x:name val="Aptos"/>
    </x:font>
    <x:font>
      <x:b/>
      <x:sz val="11"/>
      <x:color rgb="FF17212B"/>
      <x:name val="Aptos"/>
    </x:font>
    <x:font>
      <x:sz val="10"/>
      <x:color rgb="FF667085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7212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F6F8FA"/>
      </x:patternFill>
    </x:fill>
    <x:fill>
      <x:patternFill patternType="solid">
        <x:fgColor rgb="FFFFFFFF"/>
      </x:patternFill>
    </x:fill>
    <x:fill>
      <x:patternFill patternType="solid">
        <x:fgColor rgb="FF18864B"/>
      </x:patternFill>
    </x:fill>
    <x:fill>
      <x:patternFill patternType="solid">
        <x:fgColor rgb="FFFFF6D8"/>
      </x:patternFill>
    </x:fill>
    <x:fill>
      <x:patternFill patternType="solid">
        <x:fgColor rgb="FFE8F5ED"/>
      </x:patternFill>
    </x:fill>
  </x:fills>
  <x:borders count="11">
    <x:border/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18864B"/>
      </x:left>
      <x:top style="thin">
        <x:color rgb="FF18864B"/>
      </x:top>
      <x:bottom style="thin">
        <x:color rgb="FF18864B"/>
      </x:bottom>
    </x:border>
    <x:border>
      <x:top style="thin">
        <x:color rgb="FF18864B"/>
      </x:top>
      <x:bottom style="thin">
        <x:color rgb="FF18864B"/>
      </x:bottom>
    </x:border>
    <x:border>
      <x:right style="thin">
        <x:color rgb="FF18864B"/>
      </x:right>
      <x:top style="thin">
        <x:color rgb="FF18864B"/>
      </x:top>
      <x:bottom style="thin">
        <x:color rgb="FF18864B"/>
      </x:bottom>
    </x:border>
    <x:border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1" fontId="3" fillId="4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9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10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2" fontId="7" fillId="0" borderId="10" xfId="0" applyNumberFormat="1" applyFont="1" applyFill="1" applyBorder="1" applyAlignment="1">
      <x:alignment vertical="center"/>
    </x:xf>
    <x:xf numFmtId="203" fontId="7" fillId="0" borderId="5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10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10" xfId="0" applyNumberFormat="1" applyFont="1" applyFill="1" applyBorder="1" applyAlignment="1">
      <x:alignment vertical="center"/>
    </x:xf>
    <x:xf numFmtId="203" fontId="7" fillId="6" borderId="10" xfId="0" applyNumberFormat="1" applyFont="1" applyFill="1" applyBorder="1" applyAlignment="1">
      <x:alignment vertical="center"/>
    </x:xf>
    <x:xf numFmtId="200" fontId="7" fillId="6" borderId="10" xfId="0" applyNumberFormat="1" applyFont="1" applyFill="1" applyBorder="1" applyAlignment="1">
      <x:alignment vertical="center"/>
    </x:xf>
    <x:xf numFmtId="201" fontId="7" fillId="6" borderId="1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202" fontId="7" fillId="6" borderId="5" xfId="0" applyNumberFormat="1" applyFont="1" applyFill="1" applyBorder="1" applyAlignment="1">
      <x:alignment vertical="center"/>
    </x:xf>
    <x:xf numFmtId="202" fontId="7" fillId="6" borderId="10" xfId="0" applyNumberFormat="1" applyFont="1" applyFill="1" applyBorder="1" applyAlignment="1">
      <x:alignment vertical="center"/>
    </x:xf>
    <x:xf numFmtId="204" fontId="7" fillId="0" borderId="5" xfId="0" applyNumberFormat="1" applyFont="1" applyFill="1" applyBorder="1" applyAlignment="1">
      <x:alignment vertical="center"/>
    </x:xf>
    <x:xf numFmtId="204" fontId="7" fillId="0" borderId="10" xfId="0" applyNumberFormat="1" applyFont="1" applyFill="1" applyBorder="1" applyAlignment="1">
      <x:alignment vertical="center"/>
    </x:xf>
    <x:xf numFmtId="205" fontId="7" fillId="0" borderId="5" xfId="0" applyNumberFormat="1" applyFont="1" applyFill="1" applyBorder="1" applyAlignment="1">
      <x:alignment vertical="center"/>
    </x:xf>
    <x:xf numFmtId="205" fontId="7" fillId="0" borderId="1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10" fillId="4" borderId="2" xfId="0" applyNumberFormat="1" applyFont="1" applyFill="1" applyBorder="1" applyAlignment="1">
      <x:alignment horizontal="center" vertical="center"/>
    </x:xf>
    <x:xf numFmtId="200" fontId="10" fillId="4" borderId="2" xfId="0" applyNumberFormat="1" applyFont="1" applyFill="1" applyBorder="1" applyAlignment="1">
      <x:alignment horizontal="center" vertical="center"/>
    </x:xf>
    <x:xf numFmtId="201" fontId="10" fillId="4" borderId="2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0" fillId="4" borderId="3" xfId="0" applyNumberFormat="1" applyFont="1" applyFill="1" applyBorder="1" applyAlignment="1">
      <x:alignment horizontal="center" vertical="center"/>
    </x:xf>
    <x:xf numFmtId="0" fontId="10" fillId="4" borderId="4" xfId="0" applyNumberFormat="1" applyFont="1" applyFill="1" applyBorder="1" applyAlignment="1">
      <x:alignment horizontal="center" vertical="center"/>
    </x:xf>
    <x:xf numFmtId="0" fontId="10" fillId="4" borderId="5" xfId="0" applyNumberFormat="1" applyFont="1" applyFill="1" applyBorder="1" applyAlignment="1">
      <x:alignment horizontal="center" vertical="center"/>
    </x:xf>
    <x:xf numFmtId="0" fontId="10" fillId="4" borderId="6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5" borderId="7" xfId="0" applyNumberFormat="1" applyFont="1" applyFill="1" applyBorder="1" applyAlignment="1">
      <x:alignment horizontal="center" vertical="center" wrapText="1"/>
    </x:xf>
    <x:xf numFmtId="0" fontId="14" fillId="5" borderId="8" xfId="0" applyNumberFormat="1" applyFont="1" applyFill="1" applyBorder="1" applyAlignment="1">
      <x:alignment horizontal="center" vertical="center" wrapText="1"/>
    </x:xf>
    <x:xf numFmtId="0" fontId="14" fillId="5" borderId="9" xfId="0" applyNumberFormat="1" applyFont="1" applyFill="1" applyBorder="1" applyAlignment="1">
      <x:alignment horizontal="center" vertical="center" wrapText="1"/>
    </x:xf>
    <x:xf numFmtId="202" fontId="15" fillId="0" borderId="5" xfId="0" applyNumberFormat="1" applyFont="1" applyFill="1" applyBorder="1" applyAlignment="1">
      <x:alignment vertical="center"/>
    </x:xf>
    <x:xf numFmtId="203" fontId="15" fillId="0" borderId="5" xfId="0" applyNumberFormat="1" applyFont="1" applyFill="1" applyBorder="1" applyAlignment="1">
      <x:alignment vertical="center"/>
    </x:xf>
    <x:xf numFmtId="200" fontId="15" fillId="0" borderId="5" xfId="0" applyNumberFormat="1" applyFont="1" applyFill="1" applyBorder="1" applyAlignment="1">
      <x:alignment vertical="center"/>
    </x:xf>
    <x:xf numFmtId="201" fontId="15" fillId="0" borderId="5" xfId="0" applyNumberFormat="1" applyFont="1" applyFill="1" applyBorder="1" applyAlignment="1">
      <x:alignment vertical="center"/>
    </x:xf>
    <x:xf numFmtId="0" fontId="15" fillId="0" borderId="5" xfId="0" applyNumberFormat="1" applyFont="1" applyFill="1" applyBorder="1" applyAlignment="1">
      <x:alignment vertical="center" wrapText="1"/>
    </x:xf>
    <x:xf numFmtId="202" fontId="15" fillId="0" borderId="10" xfId="0" applyNumberFormat="1" applyFont="1" applyFill="1" applyBorder="1" applyAlignment="1">
      <x:alignment vertical="center"/>
    </x:xf>
    <x:xf numFmtId="203" fontId="15" fillId="6" borderId="10" xfId="0" applyNumberFormat="1" applyFont="1" applyFill="1" applyBorder="1" applyAlignment="1">
      <x:alignment vertical="center"/>
    </x:xf>
    <x:xf numFmtId="200" fontId="15" fillId="6" borderId="10" xfId="0" applyNumberFormat="1" applyFont="1" applyFill="1" applyBorder="1" applyAlignment="1">
      <x:alignment vertical="center"/>
    </x:xf>
    <x:xf numFmtId="201" fontId="15" fillId="6" borderId="10" xfId="0" applyNumberFormat="1" applyFont="1" applyFill="1" applyBorder="1" applyAlignment="1">
      <x:alignment vertical="center"/>
    </x:xf>
    <x:xf numFmtId="203" fontId="15" fillId="0" borderId="10" xfId="0" applyNumberFormat="1" applyFont="1" applyFill="1" applyBorder="1" applyAlignment="1">
      <x:alignment vertical="center"/>
    </x:xf>
    <x:xf numFmtId="200" fontId="15" fillId="0" borderId="10" xfId="0" applyNumberFormat="1" applyFont="1" applyFill="1" applyBorder="1" applyAlignment="1">
      <x:alignment vertical="center"/>
    </x:xf>
    <x:xf numFmtId="0" fontId="15" fillId="0" borderId="10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vertical="center"/>
    </x:xf>
    <x:xf numFmtId="0" fontId="15" fillId="0" borderId="10" xfId="0" applyNumberFormat="1" applyFont="1" applyFill="1" applyBorder="1" applyAlignment="1">
      <x:alignment vertical="center"/>
    </x:xf>
    <x:xf numFmtId="201" fontId="15" fillId="0" borderId="10" xfId="0" applyNumberFormat="1" applyFont="1" applyFill="1" applyBorder="1" applyAlignment="1">
      <x:alignment vertical="center"/>
    </x:xf>
    <x:xf numFmtId="202" fontId="15" fillId="6" borderId="5" xfId="0" applyNumberFormat="1" applyFont="1" applyFill="1" applyBorder="1" applyAlignment="1">
      <x:alignment vertical="center"/>
    </x:xf>
    <x:xf numFmtId="202" fontId="15" fillId="6" borderId="10" xfId="0" applyNumberFormat="1" applyFont="1" applyFill="1" applyBorder="1" applyAlignment="1">
      <x:alignment vertical="center"/>
    </x:xf>
    <x:xf numFmtId="0" fontId="15" fillId="6" borderId="5" xfId="0" applyNumberFormat="1" applyFont="1" applyFill="1" applyBorder="1" applyAlignment="1">
      <x:alignment vertical="center"/>
    </x:xf>
    <x:xf numFmtId="0" fontId="15" fillId="6" borderId="10" xfId="0" applyNumberFormat="1" applyFont="1" applyFill="1" applyBorder="1" applyAlignment="1">
      <x:alignment vertical="center"/>
    </x:xf>
    <x:xf numFmtId="204" fontId="15" fillId="0" borderId="5" xfId="0" applyNumberFormat="1" applyFont="1" applyFill="1" applyBorder="1" applyAlignment="1">
      <x:alignment vertical="center"/>
    </x:xf>
    <x:xf numFmtId="205" fontId="15" fillId="0" borderId="5" xfId="0" applyNumberFormat="1" applyFont="1" applyFill="1" applyBorder="1" applyAlignment="1">
      <x:alignment vertical="center"/>
    </x:xf>
    <x:xf numFmtId="204" fontId="15" fillId="0" borderId="10" xfId="0" applyNumberFormat="1" applyFont="1" applyFill="1" applyBorder="1" applyAlignment="1">
      <x:alignment vertical="center"/>
    </x:xf>
    <x:xf numFmtId="205" fontId="15" fillId="0" borderId="10" xfId="0" applyNumberFormat="1" applyFont="1" applyFill="1" applyBorder="1" applyAlignment="1">
      <x:alignment vertical="center"/>
    </x:xf>
    <x:xf numFmtId="0" fontId="15" fillId="7" borderId="5" xfId="0" applyNumberFormat="1" applyFont="1" applyFill="1" applyBorder="1" applyAlignment="1">
      <x:alignment vertical="center" wrapText="1"/>
    </x:xf>
    <x:xf numFmtId="0" fontId="15" fillId="6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2878B5"/>
      </x:font>
      <x:fill>
        <x:patternFill patternType="solid">
          <x:bgColor rgb="FFEAF3FA"/>
        </x:patternFill>
      </x:fill>
    </x:dxf>
    <x:dxf>
      <x:font>
        <x:color rgb="FF8A5A00"/>
      </x:font>
      <x:fill>
        <x:patternFill patternType="solid">
          <x:bgColor rgb="FFFFF6D8"/>
        </x:patternFill>
      </x:fill>
    </x:dxf>
    <x:dxf>
      <x:font>
        <x:color rgb="FF18864B"/>
      </x:font>
      <x:fill>
        <x:patternFill patternType="solid">
          <x:bgColor rgb="FFE8F5ED"/>
        </x:patternFill>
      </x:fill>
    </x:dxf>
    <x:dxf>
      <x:font>
        <x:b/>
        <x:color rgb="FFC23B32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ff51bfc234784" /><Relationship Type="http://schemas.openxmlformats.org/officeDocument/2006/relationships/theme" Target="/xl/theme/theme1.xml" Id="R3eae5eb8b4be4995" /><Relationship Type="http://schemas.openxmlformats.org/officeDocument/2006/relationships/sharedStrings" Target="/xl/sharedStrings.xml" Id="R10de2d345d0a4b15" /><Relationship Type="http://schemas.openxmlformats.org/officeDocument/2006/relationships/worksheet" Target="/xl/worksheets/sheet1.xml" Id="R52fd7bd604cb45b4" /><Relationship Type="http://schemas.openxmlformats.org/officeDocument/2006/relationships/worksheet" Target="/xl/worksheets/sheet2.xml" Id="Rbbead02b344142b2" /><Relationship Type="http://schemas.openxmlformats.org/officeDocument/2006/relationships/worksheet" Target="/xl/worksheets/sheet3.xml" Id="R8c1dc5bc72e24ad4" /><Relationship Type="http://schemas.openxmlformats.org/officeDocument/2006/relationships/worksheet" Target="/xl/worksheets/sheet4.xml" Id="Re6f7fa25e58b40ae" /><Relationship Type="http://schemas.openxmlformats.org/officeDocument/2006/relationships/worksheet" Target="/xl/worksheets/sheet5.xml" Id="R10770a8911ae442f" /><Relationship Type="http://schemas.openxmlformats.org/officeDocument/2006/relationships/worksheet" Target="/xl/worksheets/sheet6.xml" Id="R5decc53261c149ce" /><Relationship Type="http://schemas.openxmlformats.org/officeDocument/2006/relationships/worksheet" Target="/xl/worksheets/sheet7.xml" Id="R18438d75c62443ce" /></Relationships>
</file>

<file path=xl/tables/table1.xml><?xml version="1.0" encoding="utf-8"?>
<x:table xmlns:x="http://schemas.openxmlformats.org/spreadsheetml/2006/main" id="1" name="WeeklySummaryTable" displayName="WeeklySummaryTable" ref="A7:P19" headerRowCount="1" totalsRowCount="0" totalsRowShown="0">
  <x:tableColumns count="16">
    <x:tableColumn id="1" name="周开始"/>
    <x:tableColumn id="2" name="周结束"/>
    <x:tableColumn id="3" name="总点击"/>
    <x:tableColumn id="4" name="总曝光"/>
    <x:tableColumn id="5" name="CTR"/>
    <x:tableColumn id="6" name="平均排名"/>
    <x:tableColumn id="7" name="品牌词点击"/>
    <x:tableColumn id="8" name="非品牌词点击"/>
    <x:tableColumn id="9" name="匿名查询差额"/>
    <x:tableColumn id="10" name="新页面点击"/>
    <x:tableColumn id="11" name="旧页面点击"/>
    <x:tableColumn id="12" name="待处理 5xx"/>
    <x:tableColumn id="13" name="点击周环比"/>
    <x:tableColumn id="14" name="曝光周环比"/>
    <x:tableColumn id="15" name="CTR 变化"/>
    <x:tableColumn id="16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QueryDataTable" displayName="QueryDataTable" ref="A4:I53" headerRowCount="1" totalsRowCount="0" totalsRowShown="0">
  <x:tableColumns count="9">
    <x:tableColumn id="1" name="周开始"/>
    <x:tableColumn id="2" name="周结束"/>
    <x:tableColumn id="3" name="查询"/>
    <x:tableColumn id="4" name="分类"/>
    <x:tableColumn id="5" name="点击"/>
    <x:tableColumn id="6" name="曝光"/>
    <x:tableColumn id="7" name="CTR"/>
    <x:tableColumn id="8" name="平均排名"/>
    <x:tableColumn id="9" name="来源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ageDataTable" displayName="PageDataTable" ref="A4:J92" headerRowCount="1" totalsRowCount="0" totalsRowShown="0">
  <x:tableColumns count="10">
    <x:tableColumn id="1" name="周开始"/>
    <x:tableColumn id="2" name="周结束"/>
    <x:tableColumn id="3" name="页面 URL"/>
    <x:tableColumn id="4" name="首次上线日期"/>
    <x:tableColumn id="5" name="新旧页面"/>
    <x:tableColumn id="6" name="点击"/>
    <x:tableColumn id="7" name="曝光"/>
    <x:tableColumn id="8" name="CTR"/>
    <x:tableColumn id="9" name="平均排名"/>
    <x:tableColumn id="10" name="来源 URL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BrandRuleTable" displayName="BrandRuleTable" ref="A3:D5" headerRowCount="1" totalsRowCount="0" totalsRowShown="0">
  <x:tableColumns count="4">
    <x:tableColumn id="1" name="关键词"/>
    <x:tableColumn id="2" name="是否启用"/>
    <x:tableColumn id="3" name="用途"/>
    <x:tableColumn id="4" name="备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FiveXxTrackingTable" displayName="FiveXxTrackingTable" ref="A4:J83" headerRowCount="1" totalsRowCount="0" totalsRowShown="0">
  <x:tableColumns count="10">
    <x:tableColumn id="1" name="URL"/>
    <x:tableColumn id="2" name="上次抓取"/>
    <x:tableColumn id="3" name="GSC 验证"/>
    <x:tableColumn id="4" name="检查时间"/>
    <x:tableColumn id="5" name="首次状态"/>
    <x:tableColumn id="6" name="重定向目标"/>
    <x:tableColumn id="7" name="最终状态"/>
    <x:tableColumn id="8" name="结果"/>
    <x:tableColumn id="9" name="耗时(ms)"/>
    <x:tableColumn id="10" name="来源 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irectCountryTable" displayName="DirectCountryTable" ref="A8:F18" headerRowCount="1" totalsRowCount="0" totalsRowShown="0">
  <x:tableColumns count="6">
    <x:tableColumn id="1" name="国家/地区"/>
    <x:tableColumn id="2" name="desktop"/>
    <x:tableColumn id="3" name="mobile"/>
    <x:tableColumn id="4" name="tablet"/>
    <x:tableColumn id="5" name="smart tv"/>
    <x:tableColumn id="6" name="总计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irectLandingTable" displayName="DirectLandingTable" ref="H8:M18" headerRowCount="1" totalsRowCount="0" totalsRowShown="0">
  <x:tableColumns count="6">
    <x:tableColumn id="1" name="着陆页"/>
    <x:tableColumn id="2" name="desktop"/>
    <x:tableColumn id="3" name="mobile"/>
    <x:tableColumn id="4" name="tablet"/>
    <x:tableColumn id="5" name="smart tv"/>
    <x:tableColumn id="6" name="总计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ExecutionGuideTable" displayName="ExecutionGuideTable" ref="A3:F10" headerRowCount="1" totalsRowCount="0" totalsRowShown="0">
  <x:tableColumns count="6">
    <x:tableColumn id="1" name="具体动作"/>
    <x:tableColumn id="2" name="目的"/>
    <x:tableColumn id="3" name="当前状态"/>
    <x:tableColumn id="4" name="每周操作"/>
    <x:tableColumn id="5" name="完成标准"/>
    <x:tableColumn id="6" name="来源/入口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d12c271fe44e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04810238234c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04573306ae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af1f07720a4e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58aac429f6049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7e215fdf38454d" /><Relationship Type="http://schemas.openxmlformats.org/officeDocument/2006/relationships/table" Target="/xl/tables/table7.xml" Id="Rf2ba959ebba943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5643c6be3ee42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6" hidden="0" customWidth="1"/>
  </x:cols>
  <x:sheetData>
    <x:row r="1" ht="34" customHeight="1">
      <x:c r="A1" s="76" t="str">
        <x:v>PhWalls GSC 周度增长总览</x:v>
      </x:c>
      <x:c r="B1" s="76" t="str">
        <x:v>PhWalls GSC 周度增长总览</x:v>
      </x:c>
      <x:c r="C1" s="76" t="str">
        <x:v>PhWalls GSC 周度增长总览</x:v>
      </x:c>
      <x:c r="D1" s="76" t="str">
        <x:v>PhWalls GSC 周度增长总览</x:v>
      </x:c>
      <x:c r="E1" s="76" t="str">
        <x:v>PhWalls GSC 周度增长总览</x:v>
      </x:c>
      <x:c r="F1" s="76" t="str">
        <x:v>PhWalls GSC 周度增长总览</x:v>
      </x:c>
      <x:c r="G1" s="76" t="str">
        <x:v>PhWalls GSC 周度增长总览</x:v>
      </x:c>
      <x:c r="H1" s="76" t="str">
        <x:v>PhWalls GSC 周度增长总览</x:v>
      </x:c>
      <x:c r="I1" s="76" t="str">
        <x:v>PhWalls GSC 周度增长总览</x:v>
      </x:c>
      <x:c r="J1" s="76" t="str">
        <x:v>PhWalls GSC 周度增长总览</x:v>
      </x:c>
      <x:c r="K1" s="76" t="str">
        <x:v>PhWalls GSC 周度增长总览</x:v>
      </x:c>
      <x:c r="L1" s="76" t="str">
        <x:v>PhWalls GSC 周度增长总览</x:v>
      </x:c>
      <x:c r="M1" s="76" t="str">
        <x:v>PhWalls GSC 周度增长总览</x:v>
      </x:c>
      <x:c r="N1" s="76" t="str">
        <x:v>PhWalls GSC 周度增长总览</x:v>
      </x:c>
      <x:c r="O1" s="76" t="str">
        <x:v>PhWalls GSC 周度增长总览</x:v>
      </x:c>
      <x:c r="P1" s="76" t="str">
        <x:v>PhWalls GSC 周度增长总览</x:v>
      </x:c>
    </x:row>
    <x:row r="2">
      <x:c r="A2" s="77" t="str">
        <x:v>最近一周点击</x:v>
      </x:c>
      <x:c r="B2" s="77"/>
      <x:c r="C2" s="77"/>
      <x:c r="D2" s="77" t="str">
        <x:v>最近一周曝光</x:v>
      </x:c>
      <x:c r="E2" s="77"/>
      <x:c r="F2" s="77"/>
      <x:c r="G2" s="77" t="str">
        <x:v>点击率</x:v>
      </x:c>
      <x:c r="H2" s="77"/>
      <x:c r="I2" s="77"/>
      <x:c r="J2" s="77" t="str">
        <x:v>平均排名</x:v>
      </x:c>
      <x:c r="K2" s="77"/>
      <x:c r="L2" s="77"/>
      <x:c r="M2" s="77" t="str">
        <x:v>数据范围</x:v>
      </x:c>
      <x:c r="N2" s="77"/>
      <x:c r="O2" s="77"/>
      <x:c r="P2" s="77"/>
    </x:row>
    <x:row r="3">
      <x:c r="A3" s="78" t="n">
        <x:f>C8</x:f>
        <x:v>46</x:v>
      </x:c>
      <x:c r="B3" s="79"/>
      <x:c r="C3" s="79"/>
      <x:c r="D3" s="79" t="n">
        <x:f>D8</x:f>
        <x:v>238</x:v>
      </x:c>
      <x:c r="E3" s="79"/>
      <x:c r="F3" s="79"/>
      <x:c r="G3" s="80" t="n">
        <x:f>E8</x:f>
        <x:v>0.19327731092436976</x:v>
      </x:c>
      <x:c r="H3" s="79"/>
      <x:c r="I3" s="79"/>
      <x:c r="J3" s="81" t="n">
        <x:f>F8</x:f>
        <x:v>16.1</x:v>
      </x:c>
      <x:c r="K3" s="79"/>
      <x:c r="L3" s="79"/>
      <x:c r="M3" s="82" t="str">
        <x:f>TEXT(A8,"yyyy-mm-dd")&amp;" 至 "&amp;TEXT(B8,"yyyy-mm-dd")</x:f>
        <x:v>2026-07-29 至 2026-08-04</x:v>
      </x:c>
      <x:c r="N3" s="79"/>
      <x:c r="O3" s="79"/>
      <x:c r="P3" s="83"/>
    </x:row>
    <x:row r="4">
      <x:c r="A4" s="84"/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6"/>
    </x:row>
    <x:row r="5">
      <x:c r="A5" s="87" t="str">
        <x:v>本周基线已填入；后续每周只需在本表补总量，并把 GSC 查询/页面导出追加到对应工作表。品牌词、非品牌词、新旧页面及周环比会自动计算。</x:v>
      </x:c>
      <x:c r="B5" s="87" t="str">
        <x:v>本周基线已填入；后续每周只需在本表补总量，并把 GSC 查询/页面导出追加到对应工作表。品牌词、非品牌词、新旧页面及周环比会自动计算。</x:v>
      </x:c>
      <x:c r="C5" s="87" t="str">
        <x:v>本周基线已填入；后续每周只需在本表补总量，并把 GSC 查询/页面导出追加到对应工作表。品牌词、非品牌词、新旧页面及周环比会自动计算。</x:v>
      </x:c>
      <x:c r="D5" s="87" t="str">
        <x:v>本周基线已填入；后续每周只需在本表补总量，并把 GSC 查询/页面导出追加到对应工作表。品牌词、非品牌词、新旧页面及周环比会自动计算。</x:v>
      </x:c>
      <x:c r="E5" s="87" t="str">
        <x:v>本周基线已填入；后续每周只需在本表补总量，并把 GSC 查询/页面导出追加到对应工作表。品牌词、非品牌词、新旧页面及周环比会自动计算。</x:v>
      </x:c>
      <x:c r="F5" s="87" t="str">
        <x:v>本周基线已填入；后续每周只需在本表补总量，并把 GSC 查询/页面导出追加到对应工作表。品牌词、非品牌词、新旧页面及周环比会自动计算。</x:v>
      </x:c>
      <x:c r="G5" s="87" t="str">
        <x:v>本周基线已填入；后续每周只需在本表补总量，并把 GSC 查询/页面导出追加到对应工作表。品牌词、非品牌词、新旧页面及周环比会自动计算。</x:v>
      </x:c>
      <x:c r="H5" s="87" t="str">
        <x:v>本周基线已填入；后续每周只需在本表补总量，并把 GSC 查询/页面导出追加到对应工作表。品牌词、非品牌词、新旧页面及周环比会自动计算。</x:v>
      </x:c>
      <x:c r="I5" s="87" t="str">
        <x:v>本周基线已填入；后续每周只需在本表补总量，并把 GSC 查询/页面导出追加到对应工作表。品牌词、非品牌词、新旧页面及周环比会自动计算。</x:v>
      </x:c>
      <x:c r="J5" s="87" t="str">
        <x:v>本周基线已填入；后续每周只需在本表补总量，并把 GSC 查询/页面导出追加到对应工作表。品牌词、非品牌词、新旧页面及周环比会自动计算。</x:v>
      </x:c>
      <x:c r="K5" s="87" t="str">
        <x:v>本周基线已填入；后续每周只需在本表补总量，并把 GSC 查询/页面导出追加到对应工作表。品牌词、非品牌词、新旧页面及周环比会自动计算。</x:v>
      </x:c>
      <x:c r="L5" s="87" t="str">
        <x:v>本周基线已填入；后续每周只需在本表补总量，并把 GSC 查询/页面导出追加到对应工作表。品牌词、非品牌词、新旧页面及周环比会自动计算。</x:v>
      </x:c>
      <x:c r="M5" s="87" t="str">
        <x:v>本周基线已填入；后续每周只需在本表补总量，并把 GSC 查询/页面导出追加到对应工作表。品牌词、非品牌词、新旧页面及周环比会自动计算。</x:v>
      </x:c>
      <x:c r="N5" s="87" t="str">
        <x:v>本周基线已填入；后续每周只需在本表补总量，并把 GSC 查询/页面导出追加到对应工作表。品牌词、非品牌词、新旧页面及周环比会自动计算。</x:v>
      </x:c>
      <x:c r="O5" s="87" t="str">
        <x:v>本周基线已填入；后续每周只需在本表补总量，并把 GSC 查询/页面导出追加到对应工作表。品牌词、非品牌词、新旧页面及周环比会自动计算。</x:v>
      </x:c>
      <x:c r="P5" s="87" t="str">
        <x:v>本周基线已填入；后续每周只需在本表补总量，并把 GSC 查询/页面导出追加到对应工作表。品牌词、非品牌词、新旧页面及周环比会自动计算。</x:v>
      </x:c>
    </x:row>
    <x:row r="6">
      <x:c r="A6" s="88"/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28" customHeight="1">
      <x:c r="A7" s="89" t="str">
        <x:v>周开始</x:v>
      </x:c>
      <x:c r="B7" s="90" t="str">
        <x:v>周结束</x:v>
      </x:c>
      <x:c r="C7" s="90" t="str">
        <x:v>总点击</x:v>
      </x:c>
      <x:c r="D7" s="90" t="str">
        <x:v>总曝光</x:v>
      </x:c>
      <x:c r="E7" s="90" t="str">
        <x:v>CTR</x:v>
      </x:c>
      <x:c r="F7" s="90" t="str">
        <x:v>平均排名</x:v>
      </x:c>
      <x:c r="G7" s="90" t="str">
        <x:v>品牌词点击</x:v>
      </x:c>
      <x:c r="H7" s="90" t="str">
        <x:v>非品牌词点击</x:v>
      </x:c>
      <x:c r="I7" s="90" t="str">
        <x:v>匿名查询差额</x:v>
      </x:c>
      <x:c r="J7" s="90" t="str">
        <x:v>新页面点击</x:v>
      </x:c>
      <x:c r="K7" s="90" t="str">
        <x:v>旧页面点击</x:v>
      </x:c>
      <x:c r="L7" s="90" t="str">
        <x:v>待处理 5xx</x:v>
      </x:c>
      <x:c r="M7" s="90" t="str">
        <x:v>点击周环比</x:v>
      </x:c>
      <x:c r="N7" s="90" t="str">
        <x:v>曝光周环比</x:v>
      </x:c>
      <x:c r="O7" s="90" t="str">
        <x:v>CTR 变化</x:v>
      </x:c>
      <x:c r="P7" s="91" t="str">
        <x:v>备注</x:v>
      </x:c>
    </x:row>
    <x:row r="8">
      <x:c r="A8" s="92" t="n">
        <x:v>46232</x:v>
      </x:c>
      <x:c r="B8" s="92" t="n">
        <x:v>46238</x:v>
      </x:c>
      <x:c r="C8" s="93" t="n">
        <x:v>46</x:v>
      </x:c>
      <x:c r="D8" s="93" t="n">
        <x:v>238</x:v>
      </x:c>
      <x:c r="E8" s="94" t="n">
        <x:f>IFERROR(C8/D8,"")</x:f>
        <x:v>0.19327731092436976</x:v>
      </x:c>
      <x:c r="F8" s="95" t="n">
        <x:v>16.1</x:v>
      </x:c>
      <x:c r="G8" s="93" t="n">
        <x:f>SUMIFS('查询数据'!$E$5:$E$500,'查询数据'!$A$5:$A$500,A8,'查询数据'!$D$5:$D$500,"品牌词")</x:f>
        <x:v>30</x:v>
      </x:c>
      <x:c r="H8" s="93" t="n">
        <x:f>SUMIFS('查询数据'!$E$5:$E$500,'查询数据'!$A$5:$A$500,A8,'查询数据'!$D$5:$D$500,"非品牌词")</x:f>
        <x:v>6</x:v>
      </x:c>
      <x:c r="I8" s="93" t="n">
        <x:f>IF(C8="","",MAX(0,C8-G8-H8))</x:f>
        <x:v>10</x:v>
      </x:c>
      <x:c r="J8" s="93" t="n">
        <x:f>SUMIFS('页面数据'!$F$5:$F$500,'页面数据'!$A$5:$A$500,A8,'页面数据'!$E$5:$E$500,"新页面")</x:f>
        <x:v>0</x:v>
      </x:c>
      <x:c r="K8" s="93" t="n">
        <x:f>SUMIFS('页面数据'!$F$5:$F$500,'页面数据'!$A$5:$A$500,A8,'页面数据'!$E$5:$E$500,"旧页面")</x:f>
        <x:v>0</x:v>
      </x:c>
      <x:c r="L8" s="93" t="n">
        <x:f>COUNTIF('5xx 跟踪'!$H$5:$H$200,"待部署修复")+COUNTIF('5xx 跟踪'!$H$5:$H$200,"需复核")</x:f>
        <x:v>1</x:v>
      </x:c>
      <x:c r="M8" s="94" t="str">
        <x:f>IFERROR((C8-C9)/C9,"")</x:f>
      </x:c>
      <x:c r="N8" s="94" t="str">
        <x:f>IFERROR((D8-D9)/D9,"")</x:f>
      </x:c>
      <x:c r="O8" s="94" t="str">
        <x:f>IF(C9="","",E8-E9)</x:f>
      </x:c>
      <x:c r="P8" s="96" t="str">
        <x:v>GSC 最近 7 天基线</x:v>
      </x:c>
    </x:row>
    <x:row r="9">
      <x:c r="A9" s="97" t="n">
        <x:v>46225</x:v>
      </x:c>
      <x:c r="B9" s="97" t="n">
        <x:v>46231</x:v>
      </x:c>
      <x:c r="C9" s="98"/>
      <x:c r="D9" s="98"/>
      <x:c r="E9" s="99" t="str">
        <x:f>IFERROR(C9/D9,"")</x:f>
      </x:c>
      <x:c r="F9" s="100"/>
      <x:c r="G9" s="101" t="n">
        <x:f>SUMIFS('查询数据'!$E$5:$E$500,'查询数据'!$A$5:$A$500,A9,'查询数据'!$D$5:$D$500,"品牌词")</x:f>
        <x:v>0</x:v>
      </x:c>
      <x:c r="H9" s="101" t="n">
        <x:f>SUMIFS('查询数据'!$E$5:$E$500,'查询数据'!$A$5:$A$500,A9,'查询数据'!$D$5:$D$500,"非品牌词")</x:f>
        <x:v>0</x:v>
      </x:c>
      <x:c r="I9" s="101" t="str">
        <x:f>IF(C9="","",MAX(0,C9-G9-H9))</x:f>
      </x:c>
      <x:c r="J9" s="101" t="n">
        <x:f>SUMIFS('页面数据'!$F$5:$F$500,'页面数据'!$A$5:$A$500,A9,'页面数据'!$E$5:$E$500,"新页面")</x:f>
        <x:v>0</x:v>
      </x:c>
      <x:c r="K9" s="101" t="n">
        <x:f>SUMIFS('页面数据'!$F$5:$F$500,'页面数据'!$A$5:$A$500,A9,'页面数据'!$E$5:$E$500,"旧页面")</x:f>
        <x:v>0</x:v>
      </x:c>
      <x:c r="L9" s="101" t="str">
        <x:f>""</x:f>
      </x:c>
      <x:c r="M9" s="102" t="str">
        <x:f>IFERROR((C9-C10)/C10,"")</x:f>
      </x:c>
      <x:c r="N9" s="102" t="str">
        <x:f>IFERROR((D9-D10)/D10,"")</x:f>
      </x:c>
      <x:c r="O9" s="102" t="str">
        <x:f>IF(C10="","",E9-E10)</x:f>
      </x:c>
      <x:c r="P9" s="103" t="str"/>
    </x:row>
    <x:row r="10">
      <x:c r="A10" s="97" t="n">
        <x:v>46218</x:v>
      </x:c>
      <x:c r="B10" s="97" t="n">
        <x:v>46224</x:v>
      </x:c>
      <x:c r="C10" s="98"/>
      <x:c r="D10" s="98"/>
      <x:c r="E10" s="99" t="str">
        <x:f>IFERROR(C10/D10,"")</x:f>
      </x:c>
      <x:c r="F10" s="100"/>
      <x:c r="G10" s="101" t="n">
        <x:f>SUMIFS('查询数据'!$E$5:$E$500,'查询数据'!$A$5:$A$500,A10,'查询数据'!$D$5:$D$500,"品牌词")</x:f>
        <x:v>0</x:v>
      </x:c>
      <x:c r="H10" s="101" t="n">
        <x:f>SUMIFS('查询数据'!$E$5:$E$500,'查询数据'!$A$5:$A$500,A10,'查询数据'!$D$5:$D$500,"非品牌词")</x:f>
        <x:v>0</x:v>
      </x:c>
      <x:c r="I10" s="101" t="str">
        <x:f>IF(C10="","",MAX(0,C10-G10-H10))</x:f>
      </x:c>
      <x:c r="J10" s="101" t="n">
        <x:f>SUMIFS('页面数据'!$F$5:$F$500,'页面数据'!$A$5:$A$500,A10,'页面数据'!$E$5:$E$500,"新页面")</x:f>
        <x:v>0</x:v>
      </x:c>
      <x:c r="K10" s="101" t="n">
        <x:f>SUMIFS('页面数据'!$F$5:$F$500,'页面数据'!$A$5:$A$500,A10,'页面数据'!$E$5:$E$500,"旧页面")</x:f>
        <x:v>0</x:v>
      </x:c>
      <x:c r="L10" s="101" t="str">
        <x:f>""</x:f>
      </x:c>
      <x:c r="M10" s="102" t="str">
        <x:f>IFERROR((C10-C11)/C11,"")</x:f>
      </x:c>
      <x:c r="N10" s="102" t="str">
        <x:f>IFERROR((D10-D11)/D11,"")</x:f>
      </x:c>
      <x:c r="O10" s="102" t="str">
        <x:f>IF(C11="","",E10-E11)</x:f>
      </x:c>
      <x:c r="P10" s="103" t="str"/>
    </x:row>
    <x:row r="11">
      <x:c r="A11" s="97" t="n">
        <x:v>46211</x:v>
      </x:c>
      <x:c r="B11" s="97" t="n">
        <x:v>46217</x:v>
      </x:c>
      <x:c r="C11" s="98"/>
      <x:c r="D11" s="98"/>
      <x:c r="E11" s="99" t="str">
        <x:f>IFERROR(C11/D11,"")</x:f>
      </x:c>
      <x:c r="F11" s="100"/>
      <x:c r="G11" s="101" t="n">
        <x:f>SUMIFS('查询数据'!$E$5:$E$500,'查询数据'!$A$5:$A$500,A11,'查询数据'!$D$5:$D$500,"品牌词")</x:f>
        <x:v>0</x:v>
      </x:c>
      <x:c r="H11" s="101" t="n">
        <x:f>SUMIFS('查询数据'!$E$5:$E$500,'查询数据'!$A$5:$A$500,A11,'查询数据'!$D$5:$D$500,"非品牌词")</x:f>
        <x:v>0</x:v>
      </x:c>
      <x:c r="I11" s="101" t="str">
        <x:f>IF(C11="","",MAX(0,C11-G11-H11))</x:f>
      </x:c>
      <x:c r="J11" s="101" t="n">
        <x:f>SUMIFS('页面数据'!$F$5:$F$500,'页面数据'!$A$5:$A$500,A11,'页面数据'!$E$5:$E$500,"新页面")</x:f>
        <x:v>0</x:v>
      </x:c>
      <x:c r="K11" s="101" t="n">
        <x:f>SUMIFS('页面数据'!$F$5:$F$500,'页面数据'!$A$5:$A$500,A11,'页面数据'!$E$5:$E$500,"旧页面")</x:f>
        <x:v>0</x:v>
      </x:c>
      <x:c r="L11" s="101" t="str">
        <x:f>""</x:f>
      </x:c>
      <x:c r="M11" s="102" t="str">
        <x:f>IFERROR((C11-C12)/C12,"")</x:f>
      </x:c>
      <x:c r="N11" s="102" t="str">
        <x:f>IFERROR((D11-D12)/D12,"")</x:f>
      </x:c>
      <x:c r="O11" s="102" t="str">
        <x:f>IF(C12="","",E11-E12)</x:f>
      </x:c>
      <x:c r="P11" s="103" t="str"/>
    </x:row>
    <x:row r="12">
      <x:c r="A12" s="97" t="n">
        <x:v>46204</x:v>
      </x:c>
      <x:c r="B12" s="97" t="n">
        <x:v>46210</x:v>
      </x:c>
      <x:c r="C12" s="98"/>
      <x:c r="D12" s="98"/>
      <x:c r="E12" s="99" t="str">
        <x:f>IFERROR(C12/D12,"")</x:f>
      </x:c>
      <x:c r="F12" s="100"/>
      <x:c r="G12" s="101" t="n">
        <x:f>SUMIFS('查询数据'!$E$5:$E$500,'查询数据'!$A$5:$A$500,A12,'查询数据'!$D$5:$D$500,"品牌词")</x:f>
        <x:v>0</x:v>
      </x:c>
      <x:c r="H12" s="101" t="n">
        <x:f>SUMIFS('查询数据'!$E$5:$E$500,'查询数据'!$A$5:$A$500,A12,'查询数据'!$D$5:$D$500,"非品牌词")</x:f>
        <x:v>0</x:v>
      </x:c>
      <x:c r="I12" s="101" t="str">
        <x:f>IF(C12="","",MAX(0,C12-G12-H12))</x:f>
      </x:c>
      <x:c r="J12" s="101" t="n">
        <x:f>SUMIFS('页面数据'!$F$5:$F$500,'页面数据'!$A$5:$A$500,A12,'页面数据'!$E$5:$E$500,"新页面")</x:f>
        <x:v>0</x:v>
      </x:c>
      <x:c r="K12" s="101" t="n">
        <x:f>SUMIFS('页面数据'!$F$5:$F$500,'页面数据'!$A$5:$A$500,A12,'页面数据'!$E$5:$E$500,"旧页面")</x:f>
        <x:v>0</x:v>
      </x:c>
      <x:c r="L12" s="101" t="str">
        <x:f>""</x:f>
      </x:c>
      <x:c r="M12" s="102" t="str">
        <x:f>IFERROR((C12-C13)/C13,"")</x:f>
      </x:c>
      <x:c r="N12" s="102" t="str">
        <x:f>IFERROR((D12-D13)/D13,"")</x:f>
      </x:c>
      <x:c r="O12" s="102" t="str">
        <x:f>IF(C13="","",E12-E13)</x:f>
      </x:c>
      <x:c r="P12" s="103" t="str"/>
    </x:row>
    <x:row r="13">
      <x:c r="A13" s="97" t="n">
        <x:v>46197</x:v>
      </x:c>
      <x:c r="B13" s="97" t="n">
        <x:v>46203</x:v>
      </x:c>
      <x:c r="C13" s="98"/>
      <x:c r="D13" s="98"/>
      <x:c r="E13" s="99" t="str">
        <x:f>IFERROR(C13/D13,"")</x:f>
      </x:c>
      <x:c r="F13" s="100"/>
      <x:c r="G13" s="101" t="n">
        <x:f>SUMIFS('查询数据'!$E$5:$E$500,'查询数据'!$A$5:$A$500,A13,'查询数据'!$D$5:$D$500,"品牌词")</x:f>
        <x:v>0</x:v>
      </x:c>
      <x:c r="H13" s="101" t="n">
        <x:f>SUMIFS('查询数据'!$E$5:$E$500,'查询数据'!$A$5:$A$500,A13,'查询数据'!$D$5:$D$500,"非品牌词")</x:f>
        <x:v>0</x:v>
      </x:c>
      <x:c r="I13" s="101" t="str">
        <x:f>IF(C13="","",MAX(0,C13-G13-H13))</x:f>
      </x:c>
      <x:c r="J13" s="101" t="n">
        <x:f>SUMIFS('页面数据'!$F$5:$F$500,'页面数据'!$A$5:$A$500,A13,'页面数据'!$E$5:$E$500,"新页面")</x:f>
        <x:v>0</x:v>
      </x:c>
      <x:c r="K13" s="101" t="n">
        <x:f>SUMIFS('页面数据'!$F$5:$F$500,'页面数据'!$A$5:$A$500,A13,'页面数据'!$E$5:$E$500,"旧页面")</x:f>
        <x:v>0</x:v>
      </x:c>
      <x:c r="L13" s="101" t="str">
        <x:f>""</x:f>
      </x:c>
      <x:c r="M13" s="102" t="str">
        <x:f>IFERROR((C13-C14)/C14,"")</x:f>
      </x:c>
      <x:c r="N13" s="102" t="str">
        <x:f>IFERROR((D13-D14)/D14,"")</x:f>
      </x:c>
      <x:c r="O13" s="102" t="str">
        <x:f>IF(C14="","",E13-E14)</x:f>
      </x:c>
      <x:c r="P13" s="103" t="str"/>
    </x:row>
    <x:row r="14">
      <x:c r="A14" s="97" t="n">
        <x:v>46190</x:v>
      </x:c>
      <x:c r="B14" s="97" t="n">
        <x:v>46196</x:v>
      </x:c>
      <x:c r="C14" s="98"/>
      <x:c r="D14" s="98"/>
      <x:c r="E14" s="99" t="str">
        <x:f>IFERROR(C14/D14,"")</x:f>
      </x:c>
      <x:c r="F14" s="100"/>
      <x:c r="G14" s="101" t="n">
        <x:f>SUMIFS('查询数据'!$E$5:$E$500,'查询数据'!$A$5:$A$500,A14,'查询数据'!$D$5:$D$500,"品牌词")</x:f>
        <x:v>0</x:v>
      </x:c>
      <x:c r="H14" s="101" t="n">
        <x:f>SUMIFS('查询数据'!$E$5:$E$500,'查询数据'!$A$5:$A$500,A14,'查询数据'!$D$5:$D$500,"非品牌词")</x:f>
        <x:v>0</x:v>
      </x:c>
      <x:c r="I14" s="101" t="str">
        <x:f>IF(C14="","",MAX(0,C14-G14-H14))</x:f>
      </x:c>
      <x:c r="J14" s="101" t="n">
        <x:f>SUMIFS('页面数据'!$F$5:$F$500,'页面数据'!$A$5:$A$500,A14,'页面数据'!$E$5:$E$500,"新页面")</x:f>
        <x:v>0</x:v>
      </x:c>
      <x:c r="K14" s="101" t="n">
        <x:f>SUMIFS('页面数据'!$F$5:$F$500,'页面数据'!$A$5:$A$500,A14,'页面数据'!$E$5:$E$500,"旧页面")</x:f>
        <x:v>0</x:v>
      </x:c>
      <x:c r="L14" s="101" t="str">
        <x:f>""</x:f>
      </x:c>
      <x:c r="M14" s="102" t="str">
        <x:f>IFERROR((C14-C15)/C15,"")</x:f>
      </x:c>
      <x:c r="N14" s="102" t="str">
        <x:f>IFERROR((D14-D15)/D15,"")</x:f>
      </x:c>
      <x:c r="O14" s="102" t="str">
        <x:f>IF(C15="","",E14-E15)</x:f>
      </x:c>
      <x:c r="P14" s="103" t="str"/>
    </x:row>
    <x:row r="15">
      <x:c r="A15" s="97" t="n">
        <x:v>46183</x:v>
      </x:c>
      <x:c r="B15" s="97" t="n">
        <x:v>46189</x:v>
      </x:c>
      <x:c r="C15" s="98"/>
      <x:c r="D15" s="98"/>
      <x:c r="E15" s="99" t="str">
        <x:f>IFERROR(C15/D15,"")</x:f>
      </x:c>
      <x:c r="F15" s="100"/>
      <x:c r="G15" s="101" t="n">
        <x:f>SUMIFS('查询数据'!$E$5:$E$500,'查询数据'!$A$5:$A$500,A15,'查询数据'!$D$5:$D$500,"品牌词")</x:f>
        <x:v>0</x:v>
      </x:c>
      <x:c r="H15" s="101" t="n">
        <x:f>SUMIFS('查询数据'!$E$5:$E$500,'查询数据'!$A$5:$A$500,A15,'查询数据'!$D$5:$D$500,"非品牌词")</x:f>
        <x:v>0</x:v>
      </x:c>
      <x:c r="I15" s="101" t="str">
        <x:f>IF(C15="","",MAX(0,C15-G15-H15))</x:f>
      </x:c>
      <x:c r="J15" s="101" t="n">
        <x:f>SUMIFS('页面数据'!$F$5:$F$500,'页面数据'!$A$5:$A$500,A15,'页面数据'!$E$5:$E$500,"新页面")</x:f>
        <x:v>0</x:v>
      </x:c>
      <x:c r="K15" s="101" t="n">
        <x:f>SUMIFS('页面数据'!$F$5:$F$500,'页面数据'!$A$5:$A$500,A15,'页面数据'!$E$5:$E$500,"旧页面")</x:f>
        <x:v>0</x:v>
      </x:c>
      <x:c r="L15" s="101" t="str">
        <x:f>""</x:f>
      </x:c>
      <x:c r="M15" s="102" t="str">
        <x:f>IFERROR((C15-C16)/C16,"")</x:f>
      </x:c>
      <x:c r="N15" s="102" t="str">
        <x:f>IFERROR((D15-D16)/D16,"")</x:f>
      </x:c>
      <x:c r="O15" s="102" t="str">
        <x:f>IF(C16="","",E15-E16)</x:f>
      </x:c>
      <x:c r="P15" s="103" t="str"/>
    </x:row>
    <x:row r="16">
      <x:c r="A16" s="97" t="n">
        <x:v>46176</x:v>
      </x:c>
      <x:c r="B16" s="97" t="n">
        <x:v>46182</x:v>
      </x:c>
      <x:c r="C16" s="98"/>
      <x:c r="D16" s="98"/>
      <x:c r="E16" s="99" t="str">
        <x:f>IFERROR(C16/D16,"")</x:f>
      </x:c>
      <x:c r="F16" s="100"/>
      <x:c r="G16" s="101" t="n">
        <x:f>SUMIFS('查询数据'!$E$5:$E$500,'查询数据'!$A$5:$A$500,A16,'查询数据'!$D$5:$D$500,"品牌词")</x:f>
        <x:v>0</x:v>
      </x:c>
      <x:c r="H16" s="101" t="n">
        <x:f>SUMIFS('查询数据'!$E$5:$E$500,'查询数据'!$A$5:$A$500,A16,'查询数据'!$D$5:$D$500,"非品牌词")</x:f>
        <x:v>0</x:v>
      </x:c>
      <x:c r="I16" s="101" t="str">
        <x:f>IF(C16="","",MAX(0,C16-G16-H16))</x:f>
      </x:c>
      <x:c r="J16" s="101" t="n">
        <x:f>SUMIFS('页面数据'!$F$5:$F$500,'页面数据'!$A$5:$A$500,A16,'页面数据'!$E$5:$E$500,"新页面")</x:f>
        <x:v>0</x:v>
      </x:c>
      <x:c r="K16" s="101" t="n">
        <x:f>SUMIFS('页面数据'!$F$5:$F$500,'页面数据'!$A$5:$A$500,A16,'页面数据'!$E$5:$E$500,"旧页面")</x:f>
        <x:v>0</x:v>
      </x:c>
      <x:c r="L16" s="101" t="str">
        <x:f>""</x:f>
      </x:c>
      <x:c r="M16" s="102" t="str">
        <x:f>IFERROR((C16-C17)/C17,"")</x:f>
      </x:c>
      <x:c r="N16" s="102" t="str">
        <x:f>IFERROR((D16-D17)/D17,"")</x:f>
      </x:c>
      <x:c r="O16" s="102" t="str">
        <x:f>IF(C17="","",E16-E17)</x:f>
      </x:c>
      <x:c r="P16" s="103" t="str"/>
    </x:row>
    <x:row r="17">
      <x:c r="A17" s="97" t="n">
        <x:v>46169</x:v>
      </x:c>
      <x:c r="B17" s="97" t="n">
        <x:v>46175</x:v>
      </x:c>
      <x:c r="C17" s="98"/>
      <x:c r="D17" s="98"/>
      <x:c r="E17" s="99" t="str">
        <x:f>IFERROR(C17/D17,"")</x:f>
      </x:c>
      <x:c r="F17" s="100"/>
      <x:c r="G17" s="101" t="n">
        <x:f>SUMIFS('查询数据'!$E$5:$E$500,'查询数据'!$A$5:$A$500,A17,'查询数据'!$D$5:$D$500,"品牌词")</x:f>
        <x:v>0</x:v>
      </x:c>
      <x:c r="H17" s="101" t="n">
        <x:f>SUMIFS('查询数据'!$E$5:$E$500,'查询数据'!$A$5:$A$500,A17,'查询数据'!$D$5:$D$500,"非品牌词")</x:f>
        <x:v>0</x:v>
      </x:c>
      <x:c r="I17" s="101" t="str">
        <x:f>IF(C17="","",MAX(0,C17-G17-H17))</x:f>
      </x:c>
      <x:c r="J17" s="101" t="n">
        <x:f>SUMIFS('页面数据'!$F$5:$F$500,'页面数据'!$A$5:$A$500,A17,'页面数据'!$E$5:$E$500,"新页面")</x:f>
        <x:v>0</x:v>
      </x:c>
      <x:c r="K17" s="101" t="n">
        <x:f>SUMIFS('页面数据'!$F$5:$F$500,'页面数据'!$A$5:$A$500,A17,'页面数据'!$E$5:$E$500,"旧页面")</x:f>
        <x:v>0</x:v>
      </x:c>
      <x:c r="L17" s="101" t="str">
        <x:f>""</x:f>
      </x:c>
      <x:c r="M17" s="102" t="str">
        <x:f>IFERROR((C17-C18)/C18,"")</x:f>
      </x:c>
      <x:c r="N17" s="102" t="str">
        <x:f>IFERROR((D17-D18)/D18,"")</x:f>
      </x:c>
      <x:c r="O17" s="102" t="str">
        <x:f>IF(C18="","",E17-E18)</x:f>
      </x:c>
      <x:c r="P17" s="103" t="str"/>
    </x:row>
    <x:row r="18">
      <x:c r="A18" s="97" t="n">
        <x:v>46162</x:v>
      </x:c>
      <x:c r="B18" s="97" t="n">
        <x:v>46168</x:v>
      </x:c>
      <x:c r="C18" s="98"/>
      <x:c r="D18" s="98"/>
      <x:c r="E18" s="99" t="str">
        <x:f>IFERROR(C18/D18,"")</x:f>
      </x:c>
      <x:c r="F18" s="100"/>
      <x:c r="G18" s="101" t="n">
        <x:f>SUMIFS('查询数据'!$E$5:$E$500,'查询数据'!$A$5:$A$500,A18,'查询数据'!$D$5:$D$500,"品牌词")</x:f>
        <x:v>0</x:v>
      </x:c>
      <x:c r="H18" s="101" t="n">
        <x:f>SUMIFS('查询数据'!$E$5:$E$500,'查询数据'!$A$5:$A$500,A18,'查询数据'!$D$5:$D$500,"非品牌词")</x:f>
        <x:v>0</x:v>
      </x:c>
      <x:c r="I18" s="101" t="str">
        <x:f>IF(C18="","",MAX(0,C18-G18-H18))</x:f>
      </x:c>
      <x:c r="J18" s="101" t="n">
        <x:f>SUMIFS('页面数据'!$F$5:$F$500,'页面数据'!$A$5:$A$500,A18,'页面数据'!$E$5:$E$500,"新页面")</x:f>
        <x:v>0</x:v>
      </x:c>
      <x:c r="K18" s="101" t="n">
        <x:f>SUMIFS('页面数据'!$F$5:$F$500,'页面数据'!$A$5:$A$500,A18,'页面数据'!$E$5:$E$500,"旧页面")</x:f>
        <x:v>0</x:v>
      </x:c>
      <x:c r="L18" s="101" t="str">
        <x:f>""</x:f>
      </x:c>
      <x:c r="M18" s="102" t="str">
        <x:f>IFERROR((C18-C19)/C19,"")</x:f>
      </x:c>
      <x:c r="N18" s="102" t="str">
        <x:f>IFERROR((D18-D19)/D19,"")</x:f>
      </x:c>
      <x:c r="O18" s="102" t="str">
        <x:f>IF(C19="","",E18-E19)</x:f>
      </x:c>
      <x:c r="P18" s="103" t="str"/>
    </x:row>
    <x:row r="19">
      <x:c r="A19" s="97" t="n">
        <x:v>46155</x:v>
      </x:c>
      <x:c r="B19" s="97" t="n">
        <x:v>46161</x:v>
      </x:c>
      <x:c r="C19" s="98"/>
      <x:c r="D19" s="98"/>
      <x:c r="E19" s="99" t="str">
        <x:f>IFERROR(C19/D19,"")</x:f>
      </x:c>
      <x:c r="F19" s="100"/>
      <x:c r="G19" s="101" t="n">
        <x:f>SUMIFS('查询数据'!$E$5:$E$500,'查询数据'!$A$5:$A$500,A19,'查询数据'!$D$5:$D$500,"品牌词")</x:f>
        <x:v>0</x:v>
      </x:c>
      <x:c r="H19" s="101" t="n">
        <x:f>SUMIFS('查询数据'!$E$5:$E$500,'查询数据'!$A$5:$A$500,A19,'查询数据'!$D$5:$D$500,"非品牌词")</x:f>
        <x:v>0</x:v>
      </x:c>
      <x:c r="I19" s="101" t="str">
        <x:f>IF(C19="","",MAX(0,C19-G19-H19))</x:f>
      </x:c>
      <x:c r="J19" s="101" t="n">
        <x:f>SUMIFS('页面数据'!$F$5:$F$500,'页面数据'!$A$5:$A$500,A19,'页面数据'!$E$5:$E$500,"新页面")</x:f>
        <x:v>0</x:v>
      </x:c>
      <x:c r="K19" s="101" t="n">
        <x:f>SUMIFS('页面数据'!$F$5:$F$500,'页面数据'!$A$5:$A$500,A19,'页面数据'!$E$5:$E$500,"旧页面")</x:f>
        <x:v>0</x:v>
      </x:c>
      <x:c r="L19" s="101" t="str">
        <x:f>""</x:f>
      </x:c>
      <x:c r="M19" s="102" t="str">
        <x:f>""</x:f>
      </x:c>
      <x:c r="N19" s="102" t="str">
        <x:f>""</x:f>
      </x:c>
      <x:c r="O19" s="102" t="str">
        <x:f>""</x:f>
      </x:c>
      <x:c r="P19" s="103" t="str"/>
    </x:row>
  </x:sheetData>
  <x:mergeCells>
    <x:mergeCell ref="A1:P1"/>
    <x:mergeCell ref="A2:C2"/>
    <x:mergeCell ref="D2:F2"/>
    <x:mergeCell ref="G2:I2"/>
    <x:mergeCell ref="J2:L2"/>
    <x:mergeCell ref="M2:P2"/>
    <x:mergeCell ref="A3:C4"/>
    <x:mergeCell ref="D3:F4"/>
    <x:mergeCell ref="G3:I4"/>
    <x:mergeCell ref="J3:L4"/>
    <x:mergeCell ref="M3:P4"/>
    <x:mergeCell ref="A5:P5"/>
  </x:mergeCells>
  <x:pageMargins left="0.7" right="0.7" top="0.75" bottom="0.75" header="0.3" footer="0.3"/>
  <x:tableParts count="1">
    <x:tablePart xmlns:r="http://schemas.openxmlformats.org/officeDocument/2006/relationships" r:id="Rbad12c271fe44e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50" hidden="0" customWidth="1"/>
  </x:cols>
  <x:sheetData>
    <x:row r="1" ht="34" customHeight="1">
      <x:c r="A1" s="76" t="str">
        <x:v>GSC 查询数据</x:v>
      </x:c>
      <x:c r="B1" s="76" t="str">
        <x:v>GSC 查询数据</x:v>
      </x:c>
      <x:c r="C1" s="76" t="str">
        <x:v>GSC 查询数据</x:v>
      </x:c>
      <x:c r="D1" s="76" t="str">
        <x:v>GSC 查询数据</x:v>
      </x:c>
      <x:c r="E1" s="76" t="str">
        <x:v>GSC 查询数据</x:v>
      </x:c>
      <x:c r="F1" s="76" t="str">
        <x:v>GSC 查询数据</x:v>
      </x:c>
      <x:c r="G1" s="76" t="str">
        <x:v>GSC 查询数据</x:v>
      </x:c>
      <x:c r="H1" s="76" t="str">
        <x:v>GSC 查询数据</x:v>
      </x:c>
      <x:c r="I1" s="76" t="str">
        <x:v>GSC 查询数据</x:v>
      </x:c>
    </x:row>
    <x:row r="2">
      <x:c r="A2" s="87" t="str">
        <x:v>原始查询字段与派生分类分开保存；CTR 由点击/曝光计算。品牌词规则来自“品牌词规则”工作表，可审计、可更新。</x:v>
      </x:c>
      <x:c r="B2" s="87" t="str">
        <x:v>原始查询字段与派生分类分开保存；CTR 由点击/曝光计算。品牌词规则来自“品牌词规则”工作表，可审计、可更新。</x:v>
      </x:c>
      <x:c r="C2" s="87" t="str">
        <x:v>原始查询字段与派生分类分开保存；CTR 由点击/曝光计算。品牌词规则来自“品牌词规则”工作表，可审计、可更新。</x:v>
      </x:c>
      <x:c r="D2" s="87" t="str">
        <x:v>原始查询字段与派生分类分开保存；CTR 由点击/曝光计算。品牌词规则来自“品牌词规则”工作表，可审计、可更新。</x:v>
      </x:c>
      <x:c r="E2" s="87" t="str">
        <x:v>原始查询字段与派生分类分开保存；CTR 由点击/曝光计算。品牌词规则来自“品牌词规则”工作表，可审计、可更新。</x:v>
      </x:c>
      <x:c r="F2" s="87" t="str">
        <x:v>原始查询字段与派生分类分开保存；CTR 由点击/曝光计算。品牌词规则来自“品牌词规则”工作表，可审计、可更新。</x:v>
      </x:c>
      <x:c r="G2" s="87" t="str">
        <x:v>原始查询字段与派生分类分开保存；CTR 由点击/曝光计算。品牌词规则来自“品牌词规则”工作表，可审计、可更新。</x:v>
      </x:c>
      <x:c r="H2" s="87" t="str">
        <x:v>原始查询字段与派生分类分开保存；CTR 由点击/曝光计算。品牌词规则来自“品牌词规则”工作表，可审计、可更新。</x:v>
      </x:c>
      <x:c r="I2" s="87" t="str">
        <x:v>原始查询字段与派生分类分开保存；CTR 由点击/曝光计算。品牌词规则来自“品牌词规则”工作表，可审计、可更新。</x:v>
      </x:c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</x:row>
    <x:row r="4" ht="28" customHeight="1">
      <x:c r="A4" s="89" t="str">
        <x:v>周开始</x:v>
      </x:c>
      <x:c r="B4" s="90" t="str">
        <x:v>周结束</x:v>
      </x:c>
      <x:c r="C4" s="90" t="str">
        <x:v>查询</x:v>
      </x:c>
      <x:c r="D4" s="90" t="str">
        <x:v>分类</x:v>
      </x:c>
      <x:c r="E4" s="90" t="str">
        <x:v>点击</x:v>
      </x:c>
      <x:c r="F4" s="90" t="str">
        <x:v>曝光</x:v>
      </x:c>
      <x:c r="G4" s="90" t="str">
        <x:v>CTR</x:v>
      </x:c>
      <x:c r="H4" s="90" t="str">
        <x:v>平均排名</x:v>
      </x:c>
      <x:c r="I4" s="91" t="str">
        <x:v>来源 URL</x:v>
      </x:c>
    </x:row>
    <x:row r="5">
      <x:c r="A5" s="92" t="n">
        <x:v>46232</x:v>
      </x:c>
      <x:c r="B5" s="92" t="n">
        <x:v>46238</x:v>
      </x:c>
      <x:c r="C5" s="104" t="str">
        <x:v>phwalls</x:v>
      </x:c>
      <x:c r="D5" s="104" t="str">
        <x:f>IF(OR(ISNUMBER(SEARCH('品牌词规则'!$A$4,C5)),ISNUMBER(SEARCH('品牌词规则'!$A$5,C5))),"品牌词","非品牌词")</x:f>
        <x:v>品牌词</x:v>
      </x:c>
      <x:c r="E5" s="93" t="n">
        <x:v>26</x:v>
      </x:c>
      <x:c r="F5" s="93" t="n">
        <x:v>33</x:v>
      </x:c>
      <x:c r="G5" s="94" t="n">
        <x:f>IFERROR(E5/F5,0)</x:f>
        <x:v>0.7878787878787878</x:v>
      </x:c>
      <x:c r="H5" s="95" t="n">
        <x:v>1</x:v>
      </x:c>
      <x:c r="I5" s="104" t="str">
        <x:v>https://search.google.com/search-console/performance/search-analytics?resource_id=sc-domain%3Aphwalls.com</x:v>
      </x:c>
    </x:row>
    <x:row r="6">
      <x:c r="A6" s="97" t="n">
        <x:v>46232</x:v>
      </x:c>
      <x:c r="B6" s="97" t="n">
        <x:v>46238</x:v>
      </x:c>
      <x:c r="C6" s="105" t="str">
        <x:v>ph walls</x:v>
      </x:c>
      <x:c r="D6" s="105" t="str">
        <x:f>IF(OR(ISNUMBER(SEARCH('品牌词规则'!$A$4,C6)),ISNUMBER(SEARCH('品牌词规则'!$A$5,C6))),"品牌词","非品牌词")</x:f>
        <x:v>品牌词</x:v>
      </x:c>
      <x:c r="E6" s="101" t="n">
        <x:v>4</x:v>
      </x:c>
      <x:c r="F6" s="101" t="n">
        <x:v>6</x:v>
      </x:c>
      <x:c r="G6" s="102" t="n">
        <x:f>IFERROR(E6/F6,0)</x:f>
        <x:v>0.6666666666666666</x:v>
      </x:c>
      <x:c r="H6" s="106" t="n">
        <x:v>1</x:v>
      </x:c>
      <x:c r="I6" s="105" t="str">
        <x:v>https://search.google.com/search-console/performance/search-analytics?resource_id=sc-domain%3Aphwalls.com</x:v>
      </x:c>
    </x:row>
    <x:row r="7">
      <x:c r="A7" s="97" t="n">
        <x:v>46232</x:v>
      </x:c>
      <x:c r="B7" s="97" t="n">
        <x:v>46238</x:v>
      </x:c>
      <x:c r="C7" s="105" t="str">
        <x:v>hình nền honor 600</x:v>
      </x:c>
      <x:c r="D7" s="105" t="str">
        <x:f>IF(OR(ISNUMBER(SEARCH('品牌词规则'!$A$4,C7)),ISNUMBER(SEARCH('品牌词规则'!$A$5,C7))),"品牌词","非品牌词")</x:f>
        <x:v>非品牌词</x:v>
      </x:c>
      <x:c r="E7" s="101" t="n">
        <x:v>2</x:v>
      </x:c>
      <x:c r="F7" s="101" t="n">
        <x:v>7</x:v>
      </x:c>
      <x:c r="G7" s="102" t="n">
        <x:f>IFERROR(E7/F7,0)</x:f>
        <x:v>0.2857142857142857</x:v>
      </x:c>
      <x:c r="H7" s="106" t="n">
        <x:v>1.9</x:v>
      </x:c>
      <x:c r="I7" s="105" t="str">
        <x:v>https://search.google.com/search-console/performance/search-analytics?resource_id=sc-domain%3Aphwalls.com</x:v>
      </x:c>
    </x:row>
    <x:row r="8">
      <x:c r="A8" s="97" t="n">
        <x:v>46232</x:v>
      </x:c>
      <x:c r="B8" s="97" t="n">
        <x:v>46238</x:v>
      </x:c>
      <x:c r="C8" s="105" t="str">
        <x:v>samsung a17 wallpaper</x:v>
      </x:c>
      <x:c r="D8" s="105" t="str">
        <x:f>IF(OR(ISNUMBER(SEARCH('品牌词规则'!$A$4,C8)),ISNUMBER(SEARCH('品牌词规则'!$A$5,C8))),"品牌词","非品牌词")</x:f>
        <x:v>非品牌词</x:v>
      </x:c>
      <x:c r="E8" s="101" t="n">
        <x:v>1</x:v>
      </x:c>
      <x:c r="F8" s="101" t="n">
        <x:v>2</x:v>
      </x:c>
      <x:c r="G8" s="102" t="n">
        <x:f>IFERROR(E8/F8,0)</x:f>
        <x:v>0.5</x:v>
      </x:c>
      <x:c r="H8" s="106" t="n">
        <x:v>12.5</x:v>
      </x:c>
      <x:c r="I8" s="105" t="str">
        <x:v>https://search.google.com/search-console/performance/search-analytics?resource_id=sc-domain%3Aphwalls.com</x:v>
      </x:c>
    </x:row>
    <x:row r="9">
      <x:c r="A9" s="97" t="n">
        <x:v>46232</x:v>
      </x:c>
      <x:c r="B9" s="97" t="n">
        <x:v>46238</x:v>
      </x:c>
      <x:c r="C9" s="105" t="str">
        <x:v>samsung a17 wallpaper original</x:v>
      </x:c>
      <x:c r="D9" s="105" t="str">
        <x:f>IF(OR(ISNUMBER(SEARCH('品牌词规则'!$A$4,C9)),ISNUMBER(SEARCH('品牌词规则'!$A$5,C9))),"品牌词","非品牌词")</x:f>
        <x:v>非品牌词</x:v>
      </x:c>
      <x:c r="E9" s="101" t="n">
        <x:v>1</x:v>
      </x:c>
      <x:c r="F9" s="101" t="n">
        <x:v>1</x:v>
      </x:c>
      <x:c r="G9" s="102" t="n">
        <x:f>IFERROR(E9/F9,0)</x:f>
        <x:v>1</x:v>
      </x:c>
      <x:c r="H9" s="106" t="n">
        <x:v>12</x:v>
      </x:c>
      <x:c r="I9" s="105" t="str">
        <x:v>https://search.google.com/search-console/performance/search-analytics?resource_id=sc-domain%3Aphwalls.com</x:v>
      </x:c>
    </x:row>
    <x:row r="10">
      <x:c r="A10" s="97" t="n">
        <x:v>46232</x:v>
      </x:c>
      <x:c r="B10" s="97" t="n">
        <x:v>46238</x:v>
      </x:c>
      <x:c r="C10" s="105" t="str">
        <x:v>honor 600 pro wallpaper 4k</x:v>
      </x:c>
      <x:c r="D10" s="105" t="str">
        <x:f>IF(OR(ISNUMBER(SEARCH('品牌词规则'!$A$4,C10)),ISNUMBER(SEARCH('品牌词规则'!$A$5,C10))),"品牌词","非品牌词")</x:f>
        <x:v>非品牌词</x:v>
      </x:c>
      <x:c r="E10" s="101" t="n">
        <x:v>1</x:v>
      </x:c>
      <x:c r="F10" s="101" t="n">
        <x:v>1</x:v>
      </x:c>
      <x:c r="G10" s="102" t="n">
        <x:f>IFERROR(E10/F10,0)</x:f>
        <x:v>1</x:v>
      </x:c>
      <x:c r="H10" s="106" t="n">
        <x:v>25</x:v>
      </x:c>
      <x:c r="I10" s="105" t="str">
        <x:v>https://search.google.com/search-console/performance/search-analytics?resource_id=sc-domain%3Aphwalls.com</x:v>
      </x:c>
    </x:row>
    <x:row r="11">
      <x:c r="A11" s="97" t="n">
        <x:v>46232</x:v>
      </x:c>
      <x:c r="B11" s="97" t="n">
        <x:v>46238</x:v>
      </x:c>
      <x:c r="C11" s="105" t="str">
        <x:v>samsung galaxy z fold 5 wallpaper original</x:v>
      </x:c>
      <x:c r="D11" s="105" t="str">
        <x:f>IF(OR(ISNUMBER(SEARCH('品牌词规则'!$A$4,C11)),ISNUMBER(SEARCH('品牌词规则'!$A$5,C11))),"品牌词","非品牌词")</x:f>
        <x:v>非品牌词</x:v>
      </x:c>
      <x:c r="E11" s="101" t="n">
        <x:v>1</x:v>
      </x:c>
      <x:c r="F11" s="101" t="n">
        <x:v>1</x:v>
      </x:c>
      <x:c r="G11" s="102" t="n">
        <x:f>IFERROR(E11/F11,0)</x:f>
        <x:v>1</x:v>
      </x:c>
      <x:c r="H11" s="106" t="n">
        <x:v>52</x:v>
      </x:c>
      <x:c r="I11" s="105" t="str">
        <x:v>https://search.google.com/search-console/performance/search-analytics?resource_id=sc-domain%3Aphwalls.com</x:v>
      </x:c>
    </x:row>
    <x:row r="12">
      <x:c r="A12" s="97" t="n">
        <x:v>46232</x:v>
      </x:c>
      <x:c r="B12" s="97" t="n">
        <x:v>46238</x:v>
      </x:c>
      <x:c r="C12" s="105" t="str">
        <x:v>infinix note 60 pro wallpaper</x:v>
      </x:c>
      <x:c r="D12" s="105" t="str">
        <x:f>IF(OR(ISNUMBER(SEARCH('品牌词规则'!$A$4,C12)),ISNUMBER(SEARCH('品牌词规则'!$A$5,C12))),"品牌词","非品牌词")</x:f>
        <x:v>非品牌词</x:v>
      </x:c>
      <x:c r="E12" s="101" t="n">
        <x:v>0</x:v>
      </x:c>
      <x:c r="F12" s="101" t="n">
        <x:v>6</x:v>
      </x:c>
      <x:c r="G12" s="102" t="n">
        <x:f>IFERROR(E12/F12,0)</x:f>
        <x:v>0</x:v>
      </x:c>
      <x:c r="H12" s="106" t="n">
        <x:v>23.5</x:v>
      </x:c>
      <x:c r="I12" s="105" t="str">
        <x:v>https://search.google.com/search-console/performance/search-analytics?resource_id=sc-domain%3Aphwalls.com</x:v>
      </x:c>
    </x:row>
    <x:row r="13">
      <x:c r="A13" s="97" t="n">
        <x:v>46232</x:v>
      </x:c>
      <x:c r="B13" s="97" t="n">
        <x:v>46238</x:v>
      </x:c>
      <x:c r="C13" s="105" t="str">
        <x:v>xperia 5 wallpaper</x:v>
      </x:c>
      <x:c r="D13" s="105" t="str">
        <x:f>IF(OR(ISNUMBER(SEARCH('品牌词规则'!$A$4,C13)),ISNUMBER(SEARCH('品牌词规则'!$A$5,C13))),"品牌词","非品牌词")</x:f>
        <x:v>非品牌词</x:v>
      </x:c>
      <x:c r="E13" s="101" t="n">
        <x:v>0</x:v>
      </x:c>
      <x:c r="F13" s="101" t="n">
        <x:v>4</x:v>
      </x:c>
      <x:c r="G13" s="102" t="n">
        <x:f>IFERROR(E13/F13,0)</x:f>
        <x:v>0</x:v>
      </x:c>
      <x:c r="H13" s="106" t="n">
        <x:v>45.5</x:v>
      </x:c>
      <x:c r="I13" s="105" t="str">
        <x:v>https://search.google.com/search-console/performance/search-analytics?resource_id=sc-domain%3Aphwalls.com</x:v>
      </x:c>
    </x:row>
    <x:row r="14">
      <x:c r="A14" s="97" t="n">
        <x:v>46232</x:v>
      </x:c>
      <x:c r="B14" s="97" t="n">
        <x:v>46238</x:v>
      </x:c>
      <x:c r="C14" s="105" t="str">
        <x:v>infinix note 60 pro wallpaper red</x:v>
      </x:c>
      <x:c r="D14" s="105" t="str">
        <x:f>IF(OR(ISNUMBER(SEARCH('品牌词规则'!$A$4,C14)),ISNUMBER(SEARCH('品牌词规则'!$A$5,C14))),"品牌词","非品牌词")</x:f>
        <x:v>非品牌词</x:v>
      </x:c>
      <x:c r="E14" s="101" t="n">
        <x:v>0</x:v>
      </x:c>
      <x:c r="F14" s="101" t="n">
        <x:v>2</x:v>
      </x:c>
      <x:c r="G14" s="102" t="n">
        <x:f>IFERROR(E14/F14,0)</x:f>
        <x:v>0</x:v>
      </x:c>
      <x:c r="H14" s="106" t="n">
        <x:v>2</x:v>
      </x:c>
      <x:c r="I14" s="105" t="str">
        <x:v>https://search.google.com/search-console/performance/search-analytics?resource_id=sc-domain%3Aphwalls.com</x:v>
      </x:c>
    </x:row>
    <x:row r="15">
      <x:c r="A15" s="97" t="n">
        <x:v>46232</x:v>
      </x:c>
      <x:c r="B15" s="97" t="n">
        <x:v>46238</x:v>
      </x:c>
      <x:c r="C15" s="105" t="str">
        <x:v>oppo reno 15 pro mini wallpaper hd 4k</x:v>
      </x:c>
      <x:c r="D15" s="105" t="str">
        <x:f>IF(OR(ISNUMBER(SEARCH('品牌词规则'!$A$4,C15)),ISNUMBER(SEARCH('品牌词规则'!$A$5,C15))),"品牌词","非品牌词")</x:f>
        <x:v>非品牌词</x:v>
      </x:c>
      <x:c r="E15" s="101" t="n">
        <x:v>0</x:v>
      </x:c>
      <x:c r="F15" s="101" t="n">
        <x:v>2</x:v>
      </x:c>
      <x:c r="G15" s="102" t="n">
        <x:f>IFERROR(E15/F15,0)</x:f>
        <x:v>0</x:v>
      </x:c>
      <x:c r="H15" s="106" t="n">
        <x:v>5</x:v>
      </x:c>
      <x:c r="I15" s="105" t="str">
        <x:v>https://search.google.com/search-console/performance/search-analytics?resource_id=sc-domain%3Aphwalls.com</x:v>
      </x:c>
    </x:row>
    <x:row r="16">
      <x:c r="A16" s="97" t="n">
        <x:v>46232</x:v>
      </x:c>
      <x:c r="B16" s="97" t="n">
        <x:v>46238</x:v>
      </x:c>
      <x:c r="C16" s="105" t="str">
        <x:v>oppo reno 15 pro mini wallpaper 4k</x:v>
      </x:c>
      <x:c r="D16" s="105" t="str">
        <x:f>IF(OR(ISNUMBER(SEARCH('品牌词规则'!$A$4,C16)),ISNUMBER(SEARCH('品牌词规则'!$A$5,C16))),"品牌词","非品牌词")</x:f>
        <x:v>非品牌词</x:v>
      </x:c>
      <x:c r="E16" s="101" t="n">
        <x:v>0</x:v>
      </x:c>
      <x:c r="F16" s="101" t="n">
        <x:v>2</x:v>
      </x:c>
      <x:c r="G16" s="102" t="n">
        <x:f>IFERROR(E16/F16,0)</x:f>
        <x:v>0</x:v>
      </x:c>
      <x:c r="H16" s="106" t="n">
        <x:v>6.5</x:v>
      </x:c>
      <x:c r="I16" s="105" t="str">
        <x:v>https://search.google.com/search-console/performance/search-analytics?resource_id=sc-domain%3Aphwalls.com</x:v>
      </x:c>
    </x:row>
    <x:row r="17">
      <x:c r="A17" s="97" t="n">
        <x:v>46232</x:v>
      </x:c>
      <x:c r="B17" s="97" t="n">
        <x:v>46238</x:v>
      </x:c>
      <x:c r="C17" s="105" t="str">
        <x:v>ph wallpapers</x:v>
      </x:c>
      <x:c r="D17" s="105" t="str">
        <x:f>IF(OR(ISNUMBER(SEARCH('品牌词规则'!$A$4,C17)),ISNUMBER(SEARCH('品牌词规则'!$A$5,C17))),"品牌词","非品牌词")</x:f>
        <x:v>非品牌词</x:v>
      </x:c>
      <x:c r="E17" s="101" t="n">
        <x:v>0</x:v>
      </x:c>
      <x:c r="F17" s="101" t="n">
        <x:v>2</x:v>
      </x:c>
      <x:c r="G17" s="102" t="n">
        <x:f>IFERROR(E17/F17,0)</x:f>
        <x:v>0</x:v>
      </x:c>
      <x:c r="H17" s="106" t="n">
        <x:v>8</x:v>
      </x:c>
      <x:c r="I17" s="105" t="str">
        <x:v>https://search.google.com/search-console/performance/search-analytics?resource_id=sc-domain%3Aphwalls.com</x:v>
      </x:c>
    </x:row>
    <x:row r="18">
      <x:c r="A18" s="97" t="n">
        <x:v>46232</x:v>
      </x:c>
      <x:c r="B18" s="97" t="n">
        <x:v>46238</x:v>
      </x:c>
      <x:c r="C18" s="105" t="str">
        <x:v>samsung z fold 7 wallpaper</x:v>
      </x:c>
      <x:c r="D18" s="105" t="str">
        <x:f>IF(OR(ISNUMBER(SEARCH('品牌词规则'!$A$4,C18)),ISNUMBER(SEARCH('品牌词规则'!$A$5,C18))),"品牌词","非品牌词")</x:f>
        <x:v>非品牌词</x:v>
      </x:c>
      <x:c r="E18" s="101" t="n">
        <x:v>0</x:v>
      </x:c>
      <x:c r="F18" s="101" t="n">
        <x:v>2</x:v>
      </x:c>
      <x:c r="G18" s="102" t="n">
        <x:f>IFERROR(E18/F18,0)</x:f>
        <x:v>0</x:v>
      </x:c>
      <x:c r="H18" s="106" t="n">
        <x:v>76.5</x:v>
      </x:c>
      <x:c r="I18" s="105" t="str">
        <x:v>https://search.google.com/search-console/performance/search-analytics?resource_id=sc-domain%3Aphwalls.com</x:v>
      </x:c>
    </x:row>
    <x:row r="19">
      <x:c r="A19" s="97" t="n">
        <x:v>46232</x:v>
      </x:c>
      <x:c r="B19" s="97" t="n">
        <x:v>46238</x:v>
      </x:c>
      <x:c r="C19" s="105" t="str">
        <x:v>honor 600 wallpaper</x:v>
      </x:c>
      <x:c r="D19" s="105" t="str">
        <x:f>IF(OR(ISNUMBER(SEARCH('品牌词规则'!$A$4,C19)),ISNUMBER(SEARCH('品牌词规则'!$A$5,C19))),"品牌词","非品牌词")</x:f>
        <x:v>非品牌词</x:v>
      </x:c>
      <x:c r="E19" s="101" t="n">
        <x:v>0</x:v>
      </x:c>
      <x:c r="F19" s="101" t="n">
        <x:v>1</x:v>
      </x:c>
      <x:c r="G19" s="102" t="n">
        <x:f>IFERROR(E19/F19,0)</x:f>
        <x:v>0</x:v>
      </x:c>
      <x:c r="H19" s="106" t="n">
        <x:v>1</x:v>
      </x:c>
      <x:c r="I19" s="105" t="str">
        <x:v>https://search.google.com/search-console/performance/search-analytics?resource_id=sc-domain%3Aphwalls.com</x:v>
      </x:c>
    </x:row>
    <x:row r="20">
      <x:c r="A20" s="97" t="n">
        <x:v>46232</x:v>
      </x:c>
      <x:c r="B20" s="97" t="n">
        <x:v>46238</x:v>
      </x:c>
      <x:c r="C20" s="105" t="str">
        <x:v>infinix note 60 pro ultra wallpaper</x:v>
      </x:c>
      <x:c r="D20" s="105" t="str">
        <x:f>IF(OR(ISNUMBER(SEARCH('品牌词规则'!$A$4,C20)),ISNUMBER(SEARCH('品牌词规则'!$A$5,C20))),"品牌词","非品牌词")</x:f>
        <x:v>非品牌词</x:v>
      </x:c>
      <x:c r="E20" s="101" t="n">
        <x:v>0</x:v>
      </x:c>
      <x:c r="F20" s="101" t="n">
        <x:v>1</x:v>
      </x:c>
      <x:c r="G20" s="102" t="n">
        <x:f>IFERROR(E20/F20,0)</x:f>
        <x:v>0</x:v>
      </x:c>
      <x:c r="H20" s="106" t="n">
        <x:v>2</x:v>
      </x:c>
      <x:c r="I20" s="105" t="str">
        <x:v>https://search.google.com/search-console/performance/search-analytics?resource_id=sc-domain%3Aphwalls.com</x:v>
      </x:c>
    </x:row>
    <x:row r="21">
      <x:c r="A21" s="97" t="n">
        <x:v>46232</x:v>
      </x:c>
      <x:c r="B21" s="97" t="n">
        <x:v>46238</x:v>
      </x:c>
      <x:c r="C21" s="105" t="str">
        <x:v>infinix note 60 pro wallpaper 4k</x:v>
      </x:c>
      <x:c r="D21" s="105" t="str">
        <x:f>IF(OR(ISNUMBER(SEARCH('品牌词规则'!$A$4,C21)),ISNUMBER(SEARCH('品牌词规则'!$A$5,C21))),"品牌词","非品牌词")</x:f>
        <x:v>非品牌词</x:v>
      </x:c>
      <x:c r="E21" s="101" t="n">
        <x:v>0</x:v>
      </x:c>
      <x:c r="F21" s="101" t="n">
        <x:v>1</x:v>
      </x:c>
      <x:c r="G21" s="102" t="n">
        <x:f>IFERROR(E21/F21,0)</x:f>
        <x:v>0</x:v>
      </x:c>
      <x:c r="H21" s="106" t="n">
        <x:v>5</x:v>
      </x:c>
      <x:c r="I21" s="105" t="str">
        <x:v>https://search.google.com/search-console/performance/search-analytics?resource_id=sc-domain%3Aphwalls.com</x:v>
      </x:c>
    </x:row>
    <x:row r="22">
      <x:c r="A22" s="97" t="n">
        <x:v>46232</x:v>
      </x:c>
      <x:c r="B22" s="97" t="n">
        <x:v>46238</x:v>
      </x:c>
      <x:c r="C22" s="105" t="str">
        <x:v>infinix gt wallpaper</x:v>
      </x:c>
      <x:c r="D22" s="105" t="str">
        <x:f>IF(OR(ISNUMBER(SEARCH('品牌词规则'!$A$4,C22)),ISNUMBER(SEARCH('品牌词规则'!$A$5,C22))),"品牌词","非品牌词")</x:f>
        <x:v>非品牌词</x:v>
      </x:c>
      <x:c r="E22" s="101" t="n">
        <x:v>0</x:v>
      </x:c>
      <x:c r="F22" s="101" t="n">
        <x:v>1</x:v>
      </x:c>
      <x:c r="G22" s="102" t="n">
        <x:f>IFERROR(E22/F22,0)</x:f>
        <x:v>0</x:v>
      </x:c>
      <x:c r="H22" s="106" t="n">
        <x:v>9</x:v>
      </x:c>
      <x:c r="I22" s="105" t="str">
        <x:v>https://search.google.com/search-console/performance/search-analytics?resource_id=sc-domain%3Aphwalls.com</x:v>
      </x:c>
    </x:row>
    <x:row r="23">
      <x:c r="A23" s="97" t="n">
        <x:v>46232</x:v>
      </x:c>
      <x:c r="B23" s="97" t="n">
        <x:v>46238</x:v>
      </x:c>
      <x:c r="C23" s="105" t="str">
        <x:v>wallpaper infinix note edge</x:v>
      </x:c>
      <x:c r="D23" s="105" t="str">
        <x:f>IF(OR(ISNUMBER(SEARCH('品牌词规则'!$A$4,C23)),ISNUMBER(SEARCH('品牌词规则'!$A$5,C23))),"品牌词","非品牌词")</x:f>
        <x:v>非品牌词</x:v>
      </x:c>
      <x:c r="E23" s="101" t="n">
        <x:v>0</x:v>
      </x:c>
      <x:c r="F23" s="101" t="n">
        <x:v>1</x:v>
      </x:c>
      <x:c r="G23" s="102" t="n">
        <x:f>IFERROR(E23/F23,0)</x:f>
        <x:v>0</x:v>
      </x:c>
      <x:c r="H23" s="106" t="n">
        <x:v>9</x:v>
      </x:c>
      <x:c r="I23" s="105" t="str">
        <x:v>https://search.google.com/search-console/performance/search-analytics?resource_id=sc-domain%3Aphwalls.com</x:v>
      </x:c>
    </x:row>
    <x:row r="24">
      <x:c r="A24" s="97" t="n">
        <x:v>46232</x:v>
      </x:c>
      <x:c r="B24" s="97" t="n">
        <x:v>46238</x:v>
      </x:c>
      <x:c r="C24" s="105" t="str">
        <x:v>壁紙</x:v>
      </x:c>
      <x:c r="D24" s="105" t="str">
        <x:f>IF(OR(ISNUMBER(SEARCH('品牌词规则'!$A$4,C24)),ISNUMBER(SEARCH('品牌词规则'!$A$5,C24))),"品牌词","非品牌词")</x:f>
        <x:v>非品牌词</x:v>
      </x:c>
      <x:c r="E24" s="101" t="n">
        <x:v>0</x:v>
      </x:c>
      <x:c r="F24" s="101" t="n">
        <x:v>1</x:v>
      </x:c>
      <x:c r="G24" s="102" t="n">
        <x:f>IFERROR(E24/F24,0)</x:f>
        <x:v>0</x:v>
      </x:c>
      <x:c r="H24" s="106" t="n">
        <x:v>10</x:v>
      </x:c>
      <x:c r="I24" s="105" t="str">
        <x:v>https://search.google.com/search-console/performance/search-analytics?resource_id=sc-domain%3Aphwalls.com</x:v>
      </x:c>
    </x:row>
    <x:row r="25">
      <x:c r="A25" s="97" t="n">
        <x:v>46232</x:v>
      </x:c>
      <x:c r="B25" s="97" t="n">
        <x:v>46238</x:v>
      </x:c>
      <x:c r="C25" s="105" t="str">
        <x:v>realme 16 5g wallpaper</x:v>
      </x:c>
      <x:c r="D25" s="105" t="str">
        <x:f>IF(OR(ISNUMBER(SEARCH('品牌词规则'!$A$4,C25)),ISNUMBER(SEARCH('品牌词规则'!$A$5,C25))),"品牌词","非品牌词")</x:f>
        <x:v>非品牌词</x:v>
      </x:c>
      <x:c r="E25" s="101" t="n">
        <x:v>0</x:v>
      </x:c>
      <x:c r="F25" s="101" t="n">
        <x:v>1</x:v>
      </x:c>
      <x:c r="G25" s="102" t="n">
        <x:f>IFERROR(E25/F25,0)</x:f>
        <x:v>0</x:v>
      </x:c>
      <x:c r="H25" s="106" t="n">
        <x:v>11</x:v>
      </x:c>
      <x:c r="I25" s="105" t="str">
        <x:v>https://search.google.com/search-console/performance/search-analytics?resource_id=sc-domain%3Aphwalls.com</x:v>
      </x:c>
    </x:row>
    <x:row r="26">
      <x:c r="A26" s="97" t="n">
        <x:v>46232</x:v>
      </x:c>
      <x:c r="B26" s="97" t="n">
        <x:v>46238</x:v>
      </x:c>
      <x:c r="C26" s="105" t="str">
        <x:v>realme 16 wallpaper</x:v>
      </x:c>
      <x:c r="D26" s="105" t="str">
        <x:f>IF(OR(ISNUMBER(SEARCH('品牌词规则'!$A$4,C26)),ISNUMBER(SEARCH('品牌词规则'!$A$5,C26))),"品牌词","非品牌词")</x:f>
        <x:v>非品牌词</x:v>
      </x:c>
      <x:c r="E26" s="101" t="n">
        <x:v>0</x:v>
      </x:c>
      <x:c r="F26" s="101" t="n">
        <x:v>1</x:v>
      </x:c>
      <x:c r="G26" s="102" t="n">
        <x:f>IFERROR(E26/F26,0)</x:f>
        <x:v>0</x:v>
      </x:c>
      <x:c r="H26" s="106" t="n">
        <x:v>11</x:v>
      </x:c>
      <x:c r="I26" s="105" t="str">
        <x:v>https://search.google.com/search-console/performance/search-analytics?resource_id=sc-domain%3Aphwalls.com</x:v>
      </x:c>
    </x:row>
    <x:row r="27">
      <x:c r="A27" s="97" t="n">
        <x:v>46232</x:v>
      </x:c>
      <x:c r="B27" s="97" t="n">
        <x:v>46238</x:v>
      </x:c>
      <x:c r="C27" s="105" t="str">
        <x:v>wallpaper infinix zero ultra</x:v>
      </x:c>
      <x:c r="D27" s="105" t="str">
        <x:f>IF(OR(ISNUMBER(SEARCH('品牌词规则'!$A$4,C27)),ISNUMBER(SEARCH('品牌词规则'!$A$5,C27))),"品牌词","非品牌词")</x:f>
        <x:v>非品牌词</x:v>
      </x:c>
      <x:c r="E27" s="101" t="n">
        <x:v>0</x:v>
      </x:c>
      <x:c r="F27" s="101" t="n">
        <x:v>1</x:v>
      </x:c>
      <x:c r="G27" s="102" t="n">
        <x:f>IFERROR(E27/F27,0)</x:f>
        <x:v>0</x:v>
      </x:c>
      <x:c r="H27" s="106" t="n">
        <x:v>11</x:v>
      </x:c>
      <x:c r="I27" s="105" t="str">
        <x:v>https://search.google.com/search-console/performance/search-analytics?resource_id=sc-domain%3Aphwalls.com</x:v>
      </x:c>
    </x:row>
    <x:row r="28">
      <x:c r="A28" s="97" t="n">
        <x:v>46232</x:v>
      </x:c>
      <x:c r="B28" s="97" t="n">
        <x:v>46238</x:v>
      </x:c>
      <x:c r="C28" s="105" t="str">
        <x:v>infinix note 60 ultra wallpaper</x:v>
      </x:c>
      <x:c r="D28" s="105" t="str">
        <x:f>IF(OR(ISNUMBER(SEARCH('品牌词规则'!$A$4,C28)),ISNUMBER(SEARCH('品牌词规则'!$A$5,C28))),"品牌词","非品牌词")</x:f>
        <x:v>非品牌词</x:v>
      </x:c>
      <x:c r="E28" s="101" t="n">
        <x:v>0</x:v>
      </x:c>
      <x:c r="F28" s="101" t="n">
        <x:v>1</x:v>
      </x:c>
      <x:c r="G28" s="102" t="n">
        <x:f>IFERROR(E28/F28,0)</x:f>
        <x:v>0</x:v>
      </x:c>
      <x:c r="H28" s="106" t="n">
        <x:v>12</x:v>
      </x:c>
      <x:c r="I28" s="105" t="str">
        <x:v>https://search.google.com/search-console/performance/search-analytics?resource_id=sc-domain%3Aphwalls.com</x:v>
      </x:c>
    </x:row>
    <x:row r="29">
      <x:c r="A29" s="97" t="n">
        <x:v>46232</x:v>
      </x:c>
      <x:c r="B29" s="97" t="n">
        <x:v>46238</x:v>
      </x:c>
      <x:c r="C29" s="105" t="str">
        <x:v>infinix note 60 wallpaper</x:v>
      </x:c>
      <x:c r="D29" s="105" t="str">
        <x:f>IF(OR(ISNUMBER(SEARCH('品牌词规则'!$A$4,C29)),ISNUMBER(SEARCH('品牌词规则'!$A$5,C29))),"品牌词","非品牌词")</x:f>
        <x:v>非品牌词</x:v>
      </x:c>
      <x:c r="E29" s="101" t="n">
        <x:v>0</x:v>
      </x:c>
      <x:c r="F29" s="101" t="n">
        <x:v>1</x:v>
      </x:c>
      <x:c r="G29" s="102" t="n">
        <x:f>IFERROR(E29/F29,0)</x:f>
        <x:v>0</x:v>
      </x:c>
      <x:c r="H29" s="106" t="n">
        <x:v>12</x:v>
      </x:c>
      <x:c r="I29" s="105" t="str">
        <x:v>https://search.google.com/search-console/performance/search-analytics?resource_id=sc-domain%3Aphwalls.com</x:v>
      </x:c>
    </x:row>
    <x:row r="30">
      <x:c r="A30" s="97" t="n">
        <x:v>46232</x:v>
      </x:c>
      <x:c r="B30" s="97" t="n">
        <x:v>46238</x:v>
      </x:c>
      <x:c r="C30" s="105" t="str">
        <x:v>moto g86 wallpaper</x:v>
      </x:c>
      <x:c r="D30" s="105" t="str">
        <x:f>IF(OR(ISNUMBER(SEARCH('品牌词规则'!$A$4,C30)),ISNUMBER(SEARCH('品牌词规则'!$A$5,C30))),"品牌词","非品牌词")</x:f>
        <x:v>非品牌词</x:v>
      </x:c>
      <x:c r="E30" s="101" t="n">
        <x:v>0</x:v>
      </x:c>
      <x:c r="F30" s="101" t="n">
        <x:v>1</x:v>
      </x:c>
      <x:c r="G30" s="102" t="n">
        <x:f>IFERROR(E30/F30,0)</x:f>
        <x:v>0</x:v>
      </x:c>
      <x:c r="H30" s="106" t="n">
        <x:v>12</x:v>
      </x:c>
      <x:c r="I30" s="105" t="str">
        <x:v>https://search.google.com/search-console/performance/search-analytics?resource_id=sc-domain%3Aphwalls.com</x:v>
      </x:c>
    </x:row>
    <x:row r="31">
      <x:c r="A31" s="97" t="n">
        <x:v>46232</x:v>
      </x:c>
      <x:c r="B31" s="97" t="n">
        <x:v>46238</x:v>
      </x:c>
      <x:c r="C31" s="105" t="str">
        <x:v>oppo find n6 wallpaper</x:v>
      </x:c>
      <x:c r="D31" s="105" t="str">
        <x:f>IF(OR(ISNUMBER(SEARCH('品牌词规则'!$A$4,C31)),ISNUMBER(SEARCH('品牌词规则'!$A$5,C31))),"品牌词","非品牌词")</x:f>
        <x:v>非品牌词</x:v>
      </x:c>
      <x:c r="E31" s="101" t="n">
        <x:v>0</x:v>
      </x:c>
      <x:c r="F31" s="101" t="n">
        <x:v>1</x:v>
      </x:c>
      <x:c r="G31" s="102" t="n">
        <x:f>IFERROR(E31/F31,0)</x:f>
        <x:v>0</x:v>
      </x:c>
      <x:c r="H31" s="106" t="n">
        <x:v>12</x:v>
      </x:c>
      <x:c r="I31" s="105" t="str">
        <x:v>https://search.google.com/search-console/performance/search-analytics?resource_id=sc-domain%3Aphwalls.com</x:v>
      </x:c>
    </x:row>
    <x:row r="32">
      <x:c r="A32" s="97" t="n">
        <x:v>46232</x:v>
      </x:c>
      <x:c r="B32" s="97" t="n">
        <x:v>46238</x:v>
      </x:c>
      <x:c r="C32" s="105" t="str">
        <x:v>galaxy a17 wallpaper</x:v>
      </x:c>
      <x:c r="D32" s="105" t="str">
        <x:f>IF(OR(ISNUMBER(SEARCH('品牌词规则'!$A$4,C32)),ISNUMBER(SEARCH('品牌词规则'!$A$5,C32))),"品牌词","非品牌词")</x:f>
        <x:v>非品牌词</x:v>
      </x:c>
      <x:c r="E32" s="101" t="n">
        <x:v>0</x:v>
      </x:c>
      <x:c r="F32" s="101" t="n">
        <x:v>1</x:v>
      </x:c>
      <x:c r="G32" s="102" t="n">
        <x:f>IFERROR(E32/F32,0)</x:f>
        <x:v>0</x:v>
      </x:c>
      <x:c r="H32" s="106" t="n">
        <x:v>14</x:v>
      </x:c>
      <x:c r="I32" s="105" t="str">
        <x:v>https://search.google.com/search-console/performance/search-analytics?resource_id=sc-domain%3Aphwalls.com</x:v>
      </x:c>
    </x:row>
    <x:row r="33">
      <x:c r="A33" s="97" t="n">
        <x:v>46232</x:v>
      </x:c>
      <x:c r="B33" s="97" t="n">
        <x:v>46238</x:v>
      </x:c>
      <x:c r="C33" s="105" t="str">
        <x:v>wallpaper for moto edge 70 fusion</x:v>
      </x:c>
      <x:c r="D33" s="105" t="str">
        <x:f>IF(OR(ISNUMBER(SEARCH('品牌词规则'!$A$4,C33)),ISNUMBER(SEARCH('品牌词规则'!$A$5,C33))),"品牌词","非品牌词")</x:f>
        <x:v>非品牌词</x:v>
      </x:c>
      <x:c r="E33" s="101" t="n">
        <x:v>0</x:v>
      </x:c>
      <x:c r="F33" s="101" t="n">
        <x:v>1</x:v>
      </x:c>
      <x:c r="G33" s="102" t="n">
        <x:f>IFERROR(E33/F33,0)</x:f>
        <x:v>0</x:v>
      </x:c>
      <x:c r="H33" s="106" t="n">
        <x:v>14</x:v>
      </x:c>
      <x:c r="I33" s="105" t="str">
        <x:v>https://search.google.com/search-console/performance/search-analytics?resource_id=sc-domain%3Aphwalls.com</x:v>
      </x:c>
    </x:row>
    <x:row r="34">
      <x:c r="A34" s="97" t="n">
        <x:v>46232</x:v>
      </x:c>
      <x:c r="B34" s="97" t="n">
        <x:v>46238</x:v>
      </x:c>
      <x:c r="C34" s="105" t="str">
        <x:v>buscar logo</x:v>
      </x:c>
      <x:c r="D34" s="105" t="str">
        <x:f>IF(OR(ISNUMBER(SEARCH('品牌词规则'!$A$4,C34)),ISNUMBER(SEARCH('品牌词规则'!$A$5,C34))),"品牌词","非品牌词")</x:f>
        <x:v>非品牌词</x:v>
      </x:c>
      <x:c r="E34" s="101" t="n">
        <x:v>0</x:v>
      </x:c>
      <x:c r="F34" s="101" t="n">
        <x:v>1</x:v>
      </x:c>
      <x:c r="G34" s="102" t="n">
        <x:f>IFERROR(E34/F34,0)</x:f>
        <x:v>0</x:v>
      </x:c>
      <x:c r="H34" s="106" t="n">
        <x:v>21</x:v>
      </x:c>
      <x:c r="I34" s="105" t="str">
        <x:v>https://search.google.com/search-console/performance/search-analytics?resource_id=sc-domain%3Aphwalls.com</x:v>
      </x:c>
    </x:row>
    <x:row r="35">
      <x:c r="A35" s="97" t="n">
        <x:v>46232</x:v>
      </x:c>
      <x:c r="B35" s="97" t="n">
        <x:v>46238</x:v>
      </x:c>
      <x:c r="C35" s="105" t="str">
        <x:v>infinix note 60 pro wallpaper hd 4k</x:v>
      </x:c>
      <x:c r="D35" s="105" t="str">
        <x:f>IF(OR(ISNUMBER(SEARCH('品牌词规则'!$A$4,C35)),ISNUMBER(SEARCH('品牌词规则'!$A$5,C35))),"品牌词","非品牌词")</x:f>
        <x:v>非品牌词</x:v>
      </x:c>
      <x:c r="E35" s="101" t="n">
        <x:v>0</x:v>
      </x:c>
      <x:c r="F35" s="101" t="n">
        <x:v>1</x:v>
      </x:c>
      <x:c r="G35" s="102" t="n">
        <x:f>IFERROR(E35/F35,0)</x:f>
        <x:v>0</x:v>
      </x:c>
      <x:c r="H35" s="106" t="n">
        <x:v>21</x:v>
      </x:c>
      <x:c r="I35" s="105" t="str">
        <x:v>https://search.google.com/search-console/performance/search-analytics?resource_id=sc-domain%3Aphwalls.com</x:v>
      </x:c>
    </x:row>
    <x:row r="36">
      <x:c r="A36" s="97" t="n">
        <x:v>46232</x:v>
      </x:c>
      <x:c r="B36" s="97" t="n">
        <x:v>46238</x:v>
      </x:c>
      <x:c r="C36" s="105" t="str">
        <x:v>oppo reno 14 pro wallpaper</x:v>
      </x:c>
      <x:c r="D36" s="105" t="str">
        <x:f>IF(OR(ISNUMBER(SEARCH('品牌词规则'!$A$4,C36)),ISNUMBER(SEARCH('品牌词规则'!$A$5,C36))),"品牌词","非品牌词")</x:f>
        <x:v>非品牌词</x:v>
      </x:c>
      <x:c r="E36" s="101" t="n">
        <x:v>0</x:v>
      </x:c>
      <x:c r="F36" s="101" t="n">
        <x:v>1</x:v>
      </x:c>
      <x:c r="G36" s="102" t="n">
        <x:f>IFERROR(E36/F36,0)</x:f>
        <x:v>0</x:v>
      </x:c>
      <x:c r="H36" s="106" t="n">
        <x:v>26</x:v>
      </x:c>
      <x:c r="I36" s="105" t="str">
        <x:v>https://search.google.com/search-console/performance/search-analytics?resource_id=sc-domain%3Aphwalls.com</x:v>
      </x:c>
    </x:row>
    <x:row r="37">
      <x:c r="A37" s="97" t="n">
        <x:v>46232</x:v>
      </x:c>
      <x:c r="B37" s="97" t="n">
        <x:v>46238</x:v>
      </x:c>
      <x:c r="C37" s="105" t="str">
        <x:v>infinix note edge wallpaper</x:v>
      </x:c>
      <x:c r="D37" s="105" t="str">
        <x:f>IF(OR(ISNUMBER(SEARCH('品牌词规则'!$A$4,C37)),ISNUMBER(SEARCH('品牌词规则'!$A$5,C37))),"品牌词","非品牌词")</x:f>
        <x:v>非品牌词</x:v>
      </x:c>
      <x:c r="E37" s="101" t="n">
        <x:v>0</x:v>
      </x:c>
      <x:c r="F37" s="101" t="n">
        <x:v>1</x:v>
      </x:c>
      <x:c r="G37" s="102" t="n">
        <x:f>IFERROR(E37/F37,0)</x:f>
        <x:v>0</x:v>
      </x:c>
      <x:c r="H37" s="106" t="n">
        <x:v>27</x:v>
      </x:c>
      <x:c r="I37" s="105" t="str">
        <x:v>https://search.google.com/search-console/performance/search-analytics?resource_id=sc-domain%3Aphwalls.com</x:v>
      </x:c>
    </x:row>
    <x:row r="38">
      <x:c r="A38" s="97" t="n">
        <x:v>46232</x:v>
      </x:c>
      <x:c r="B38" s="97" t="n">
        <x:v>46238</x:v>
      </x:c>
      <x:c r="C38" s="105" t="str">
        <x:v>infinix note 40 wallpaper</x:v>
      </x:c>
      <x:c r="D38" s="105" t="str">
        <x:f>IF(OR(ISNUMBER(SEARCH('品牌词规则'!$A$4,C38)),ISNUMBER(SEARCH('品牌词规则'!$A$5,C38))),"品牌词","非品牌词")</x:f>
        <x:v>非品牌词</x:v>
      </x:c>
      <x:c r="E38" s="101" t="n">
        <x:v>0</x:v>
      </x:c>
      <x:c r="F38" s="101" t="n">
        <x:v>1</x:v>
      </x:c>
      <x:c r="G38" s="102" t="n">
        <x:f>IFERROR(E38/F38,0)</x:f>
        <x:v>0</x:v>
      </x:c>
      <x:c r="H38" s="106" t="n">
        <x:v>33</x:v>
      </x:c>
      <x:c r="I38" s="105" t="str">
        <x:v>https://search.google.com/search-console/performance/search-analytics?resource_id=sc-domain%3Aphwalls.com</x:v>
      </x:c>
    </x:row>
    <x:row r="39">
      <x:c r="A39" s="97" t="n">
        <x:v>46232</x:v>
      </x:c>
      <x:c r="B39" s="97" t="n">
        <x:v>46238</x:v>
      </x:c>
      <x:c r="C39" s="105" t="str">
        <x:v>infinix hot 50 wallpaper</x:v>
      </x:c>
      <x:c r="D39" s="105" t="str">
        <x:f>IF(OR(ISNUMBER(SEARCH('品牌词规则'!$A$4,C39)),ISNUMBER(SEARCH('品牌词规则'!$A$5,C39))),"品牌词","非品牌词")</x:f>
        <x:v>非品牌词</x:v>
      </x:c>
      <x:c r="E39" s="101" t="n">
        <x:v>0</x:v>
      </x:c>
      <x:c r="F39" s="101" t="n">
        <x:v>1</x:v>
      </x:c>
      <x:c r="G39" s="102" t="n">
        <x:f>IFERROR(E39/F39,0)</x:f>
        <x:v>0</x:v>
      </x:c>
      <x:c r="H39" s="106" t="n">
        <x:v>34</x:v>
      </x:c>
      <x:c r="I39" s="105" t="str">
        <x:v>https://search.google.com/search-console/performance/search-analytics?resource_id=sc-domain%3Aphwalls.com</x:v>
      </x:c>
    </x:row>
    <x:row r="40">
      <x:c r="A40" s="97" t="n">
        <x:v>46232</x:v>
      </x:c>
      <x:c r="B40" s="97" t="n">
        <x:v>46238</x:v>
      </x:c>
      <x:c r="C40" s="105" t="str">
        <x:v>samsung a26 wallpaper</x:v>
      </x:c>
      <x:c r="D40" s="105" t="str">
        <x:f>IF(OR(ISNUMBER(SEARCH('品牌词规则'!$A$4,C40)),ISNUMBER(SEARCH('品牌词规则'!$A$5,C40))),"品牌词","非品牌词")</x:f>
        <x:v>非品牌词</x:v>
      </x:c>
      <x:c r="E40" s="101" t="n">
        <x:v>0</x:v>
      </x:c>
      <x:c r="F40" s="101" t="n">
        <x:v>1</x:v>
      </x:c>
      <x:c r="G40" s="102" t="n">
        <x:f>IFERROR(E40/F40,0)</x:f>
        <x:v>0</x:v>
      </x:c>
      <x:c r="H40" s="106" t="n">
        <x:v>35</x:v>
      </x:c>
      <x:c r="I40" s="105" t="str">
        <x:v>https://search.google.com/search-console/performance/search-analytics?resource_id=sc-domain%3Aphwalls.com</x:v>
      </x:c>
    </x:row>
    <x:row r="41">
      <x:c r="A41" s="97" t="n">
        <x:v>46232</x:v>
      </x:c>
      <x:c r="B41" s="97" t="n">
        <x:v>46238</x:v>
      </x:c>
      <x:c r="C41" s="105" t="str">
        <x:v>samsung fold 5 wallpaper</x:v>
      </x:c>
      <x:c r="D41" s="105" t="str">
        <x:f>IF(OR(ISNUMBER(SEARCH('品牌词规则'!$A$4,C41)),ISNUMBER(SEARCH('品牌词规则'!$A$5,C41))),"品牌词","非品牌词")</x:f>
        <x:v>非品牌词</x:v>
      </x:c>
      <x:c r="E41" s="101" t="n">
        <x:v>0</x:v>
      </x:c>
      <x:c r="F41" s="101" t="n">
        <x:v>1</x:v>
      </x:c>
      <x:c r="G41" s="102" t="n">
        <x:f>IFERROR(E41/F41,0)</x:f>
        <x:v>0</x:v>
      </x:c>
      <x:c r="H41" s="106" t="n">
        <x:v>36</x:v>
      </x:c>
      <x:c r="I41" s="105" t="str">
        <x:v>https://search.google.com/search-console/performance/search-analytics?resource_id=sc-domain%3Aphwalls.com</x:v>
      </x:c>
    </x:row>
    <x:row r="42">
      <x:c r="A42" s="97" t="n">
        <x:v>46232</x:v>
      </x:c>
      <x:c r="B42" s="97" t="n">
        <x:v>46238</x:v>
      </x:c>
      <x:c r="C42" s="105" t="str">
        <x:v>fold 5 wallpaper 4k</x:v>
      </x:c>
      <x:c r="D42" s="105" t="str">
        <x:f>IF(OR(ISNUMBER(SEARCH('品牌词规则'!$A$4,C42)),ISNUMBER(SEARCH('品牌词规则'!$A$5,C42))),"品牌词","非品牌词")</x:f>
        <x:v>非品牌词</x:v>
      </x:c>
      <x:c r="E42" s="101" t="n">
        <x:v>0</x:v>
      </x:c>
      <x:c r="F42" s="101" t="n">
        <x:v>1</x:v>
      </x:c>
      <x:c r="G42" s="102" t="n">
        <x:f>IFERROR(E42/F42,0)</x:f>
        <x:v>0</x:v>
      </x:c>
      <x:c r="H42" s="106" t="n">
        <x:v>43</x:v>
      </x:c>
      <x:c r="I42" s="105" t="str">
        <x:v>https://search.google.com/search-console/performance/search-analytics?resource_id=sc-domain%3Aphwalls.com</x:v>
      </x:c>
    </x:row>
    <x:row r="43">
      <x:c r="A43" s="97" t="n">
        <x:v>46232</x:v>
      </x:c>
      <x:c r="B43" s="97" t="n">
        <x:v>46238</x:v>
      </x:c>
      <x:c r="C43" s="105" t="str">
        <x:v>pixel 8a wallpaper size</x:v>
      </x:c>
      <x:c r="D43" s="105" t="str">
        <x:f>IF(OR(ISNUMBER(SEARCH('品牌词规则'!$A$4,C43)),ISNUMBER(SEARCH('品牌词规则'!$A$5,C43))),"品牌词","非品牌词")</x:f>
        <x:v>非品牌词</x:v>
      </x:c>
      <x:c r="E43" s="101" t="n">
        <x:v>0</x:v>
      </x:c>
      <x:c r="F43" s="101" t="n">
        <x:v>1</x:v>
      </x:c>
      <x:c r="G43" s="102" t="n">
        <x:f>IFERROR(E43/F43,0)</x:f>
        <x:v>0</x:v>
      </x:c>
      <x:c r="H43" s="106" t="n">
        <x:v>46</x:v>
      </x:c>
      <x:c r="I43" s="105" t="str">
        <x:v>https://search.google.com/search-console/performance/search-analytics?resource_id=sc-domain%3Aphwalls.com</x:v>
      </x:c>
    </x:row>
    <x:row r="44">
      <x:c r="A44" s="97" t="n">
        <x:v>46232</x:v>
      </x:c>
      <x:c r="B44" s="97" t="n">
        <x:v>46238</x:v>
      </x:c>
      <x:c r="C44" s="105" t="str">
        <x:v>wallpaper samsung a35</x:v>
      </x:c>
      <x:c r="D44" s="105" t="str">
        <x:f>IF(OR(ISNUMBER(SEARCH('品牌词规则'!$A$4,C44)),ISNUMBER(SEARCH('品牌词规则'!$A$5,C44))),"品牌词","非品牌词")</x:f>
        <x:v>非品牌词</x:v>
      </x:c>
      <x:c r="E44" s="101" t="n">
        <x:v>0</x:v>
      </x:c>
      <x:c r="F44" s="101" t="n">
        <x:v>1</x:v>
      </x:c>
      <x:c r="G44" s="102" t="n">
        <x:f>IFERROR(E44/F44,0)</x:f>
        <x:v>0</x:v>
      </x:c>
      <x:c r="H44" s="106" t="n">
        <x:v>46</x:v>
      </x:c>
      <x:c r="I44" s="105" t="str">
        <x:v>https://search.google.com/search-console/performance/search-analytics?resource_id=sc-domain%3Aphwalls.com</x:v>
      </x:c>
    </x:row>
    <x:row r="45">
      <x:c r="A45" s="97" t="n">
        <x:v>46232</x:v>
      </x:c>
      <x:c r="B45" s="97" t="n">
        <x:v>46238</x:v>
      </x:c>
      <x:c r="C45" s="105" t="str">
        <x:v>best wallpapers for nothing phone 2a</x:v>
      </x:c>
      <x:c r="D45" s="105" t="str">
        <x:f>IF(OR(ISNUMBER(SEARCH('品牌词规则'!$A$4,C45)),ISNUMBER(SEARCH('品牌词规则'!$A$5,C45))),"品牌词","非品牌词")</x:f>
        <x:v>非品牌词</x:v>
      </x:c>
      <x:c r="E45" s="101" t="n">
        <x:v>0</x:v>
      </x:c>
      <x:c r="F45" s="101" t="n">
        <x:v>1</x:v>
      </x:c>
      <x:c r="G45" s="102" t="n">
        <x:f>IFERROR(E45/F45,0)</x:f>
        <x:v>0</x:v>
      </x:c>
      <x:c r="H45" s="106" t="n">
        <x:v>47</x:v>
      </x:c>
      <x:c r="I45" s="105" t="str">
        <x:v>https://search.google.com/search-console/performance/search-analytics?resource_id=sc-domain%3Aphwalls.com</x:v>
      </x:c>
    </x:row>
    <x:row r="46">
      <x:c r="A46" s="97" t="n">
        <x:v>46232</x:v>
      </x:c>
      <x:c r="B46" s="97" t="n">
        <x:v>46238</x:v>
      </x:c>
      <x:c r="C46" s="105" t="str">
        <x:v>galaxy a71 wallpaper</x:v>
      </x:c>
      <x:c r="D46" s="105" t="str">
        <x:f>IF(OR(ISNUMBER(SEARCH('品牌词规则'!$A$4,C46)),ISNUMBER(SEARCH('品牌词规则'!$A$5,C46))),"品牌词","非品牌词")</x:f>
        <x:v>非品牌词</x:v>
      </x:c>
      <x:c r="E46" s="101" t="n">
        <x:v>0</x:v>
      </x:c>
      <x:c r="F46" s="101" t="n">
        <x:v>1</x:v>
      </x:c>
      <x:c r="G46" s="102" t="n">
        <x:f>IFERROR(E46/F46,0)</x:f>
        <x:v>0</x:v>
      </x:c>
      <x:c r="H46" s="106" t="n">
        <x:v>47</x:v>
      </x:c>
      <x:c r="I46" s="105" t="str">
        <x:v>https://search.google.com/search-console/performance/search-analytics?resource_id=sc-domain%3Aphwalls.com</x:v>
      </x:c>
    </x:row>
    <x:row r="47">
      <x:c r="A47" s="97" t="n">
        <x:v>46232</x:v>
      </x:c>
      <x:c r="B47" s="97" t="n">
        <x:v>46238</x:v>
      </x:c>
      <x:c r="C47" s="105" t="str">
        <x:v>moto edge 50 fusion wallpaper hd 4k</x:v>
      </x:c>
      <x:c r="D47" s="105" t="str">
        <x:f>IF(OR(ISNUMBER(SEARCH('品牌词规则'!$A$4,C47)),ISNUMBER(SEARCH('品牌词规则'!$A$5,C47))),"品牌词","非品牌词")</x:f>
        <x:v>非品牌词</x:v>
      </x:c>
      <x:c r="E47" s="101" t="n">
        <x:v>0</x:v>
      </x:c>
      <x:c r="F47" s="101" t="n">
        <x:v>1</x:v>
      </x:c>
      <x:c r="G47" s="102" t="n">
        <x:f>IFERROR(E47/F47,0)</x:f>
        <x:v>0</x:v>
      </x:c>
      <x:c r="H47" s="106" t="n">
        <x:v>48</x:v>
      </x:c>
      <x:c r="I47" s="105" t="str">
        <x:v>https://search.google.com/search-console/performance/search-analytics?resource_id=sc-domain%3Aphwalls.com</x:v>
      </x:c>
    </x:row>
    <x:row r="48">
      <x:c r="A48" s="97" t="n">
        <x:v>46232</x:v>
      </x:c>
      <x:c r="B48" s="97" t="n">
        <x:v>46238</x:v>
      </x:c>
      <x:c r="C48" s="105" t="str">
        <x:v>redmi note 13 pro wallpapers</x:v>
      </x:c>
      <x:c r="D48" s="105" t="str">
        <x:f>IF(OR(ISNUMBER(SEARCH('品牌词规则'!$A$4,C48)),ISNUMBER(SEARCH('品牌词规则'!$A$5,C48))),"品牌词","非品牌词")</x:f>
        <x:v>非品牌词</x:v>
      </x:c>
      <x:c r="E48" s="101" t="n">
        <x:v>0</x:v>
      </x:c>
      <x:c r="F48" s="101" t="n">
        <x:v>1</x:v>
      </x:c>
      <x:c r="G48" s="102" t="n">
        <x:f>IFERROR(E48/F48,0)</x:f>
        <x:v>0</x:v>
      </x:c>
      <x:c r="H48" s="106" t="n">
        <x:v>50</x:v>
      </x:c>
      <x:c r="I48" s="105" t="str">
        <x:v>https://search.google.com/search-console/performance/search-analytics?resource_id=sc-domain%3Aphwalls.com</x:v>
      </x:c>
    </x:row>
    <x:row r="49">
      <x:c r="A49" s="97" t="n">
        <x:v>46232</x:v>
      </x:c>
      <x:c r="B49" s="97" t="n">
        <x:v>46238</x:v>
      </x:c>
      <x:c r="C49" s="105" t="str">
        <x:v>galaxy a16 wallpaper</x:v>
      </x:c>
      <x:c r="D49" s="105" t="str">
        <x:f>IF(OR(ISNUMBER(SEARCH('品牌词规则'!$A$4,C49)),ISNUMBER(SEARCH('品牌词规则'!$A$5,C49))),"品牌词","非品牌词")</x:f>
        <x:v>非品牌词</x:v>
      </x:c>
      <x:c r="E49" s="101" t="n">
        <x:v>0</x:v>
      </x:c>
      <x:c r="F49" s="101" t="n">
        <x:v>1</x:v>
      </x:c>
      <x:c r="G49" s="102" t="n">
        <x:f>IFERROR(E49/F49,0)</x:f>
        <x:v>0</x:v>
      </x:c>
      <x:c r="H49" s="106" t="n">
        <x:v>63</x:v>
      </x:c>
      <x:c r="I49" s="105" t="str">
        <x:v>https://search.google.com/search-console/performance/search-analytics?resource_id=sc-domain%3Aphwalls.com</x:v>
      </x:c>
    </x:row>
    <x:row r="50">
      <x:c r="A50" s="97" t="n">
        <x:v>46232</x:v>
      </x:c>
      <x:c r="B50" s="97" t="n">
        <x:v>46238</x:v>
      </x:c>
      <x:c r="C50" s="105" t="str">
        <x:v>k3 wallpaper</x:v>
      </x:c>
      <x:c r="D50" s="105" t="str">
        <x:f>IF(OR(ISNUMBER(SEARCH('品牌词规则'!$A$4,C50)),ISNUMBER(SEARCH('品牌词规则'!$A$5,C50))),"品牌词","非品牌词")</x:f>
        <x:v>非品牌词</x:v>
      </x:c>
      <x:c r="E50" s="101" t="n">
        <x:v>0</x:v>
      </x:c>
      <x:c r="F50" s="101" t="n">
        <x:v>1</x:v>
      </x:c>
      <x:c r="G50" s="102" t="n">
        <x:f>IFERROR(E50/F50,0)</x:f>
        <x:v>0</x:v>
      </x:c>
      <x:c r="H50" s="106" t="n">
        <x:v>71</x:v>
      </x:c>
      <x:c r="I50" s="105" t="str">
        <x:v>https://search.google.com/search-console/performance/search-analytics?resource_id=sc-domain%3Aphwalls.com</x:v>
      </x:c>
    </x:row>
    <x:row r="51">
      <x:c r="A51" s="97" t="n">
        <x:v>46232</x:v>
      </x:c>
      <x:c r="B51" s="97" t="n">
        <x:v>46238</x:v>
      </x:c>
      <x:c r="C51" s="105" t="str">
        <x:v>z fold 7 wallpapers</x:v>
      </x:c>
      <x:c r="D51" s="105" t="str">
        <x:f>IF(OR(ISNUMBER(SEARCH('品牌词规则'!$A$4,C51)),ISNUMBER(SEARCH('品牌词规则'!$A$5,C51))),"品牌词","非品牌词")</x:f>
        <x:v>非品牌词</x:v>
      </x:c>
      <x:c r="E51" s="101" t="n">
        <x:v>0</x:v>
      </x:c>
      <x:c r="F51" s="101" t="n">
        <x:v>1</x:v>
      </x:c>
      <x:c r="G51" s="102" t="n">
        <x:f>IFERROR(E51/F51,0)</x:f>
        <x:v>0</x:v>
      </x:c>
      <x:c r="H51" s="106" t="n">
        <x:v>74</x:v>
      </x:c>
      <x:c r="I51" s="105" t="str">
        <x:v>https://search.google.com/search-console/performance/search-analytics?resource_id=sc-domain%3Aphwalls.com</x:v>
      </x:c>
    </x:row>
    <x:row r="52">
      <x:c r="A52" s="97" t="n">
        <x:v>46232</x:v>
      </x:c>
      <x:c r="B52" s="97" t="n">
        <x:v>46238</x:v>
      </x:c>
      <x:c r="C52" s="105" t="str">
        <x:v>z fold 7 wallpaper</x:v>
      </x:c>
      <x:c r="D52" s="105" t="str">
        <x:f>IF(OR(ISNUMBER(SEARCH('品牌词规则'!$A$4,C52)),ISNUMBER(SEARCH('品牌词规则'!$A$5,C52))),"品牌词","非品牌词")</x:f>
        <x:v>非品牌词</x:v>
      </x:c>
      <x:c r="E52" s="101" t="n">
        <x:v>0</x:v>
      </x:c>
      <x:c r="F52" s="101" t="n">
        <x:v>1</x:v>
      </x:c>
      <x:c r="G52" s="102" t="n">
        <x:f>IFERROR(E52/F52,0)</x:f>
        <x:v>0</x:v>
      </x:c>
      <x:c r="H52" s="106" t="n">
        <x:v>76</x:v>
      </x:c>
      <x:c r="I52" s="105" t="str">
        <x:v>https://search.google.com/search-console/performance/search-analytics?resource_id=sc-domain%3Aphwalls.com</x:v>
      </x:c>
    </x:row>
    <x:row r="53">
      <x:c r="A53" s="97" t="n">
        <x:v>46232</x:v>
      </x:c>
      <x:c r="B53" s="97" t="n">
        <x:v>46238</x:v>
      </x:c>
      <x:c r="C53" s="105" t="str">
        <x:v>windows xp 桌布</x:v>
      </x:c>
      <x:c r="D53" s="105" t="str">
        <x:f>IF(OR(ISNUMBER(SEARCH('品牌词规则'!$A$4,C53)),ISNUMBER(SEARCH('品牌词规则'!$A$5,C53))),"品牌词","非品牌词")</x:f>
        <x:v>非品牌词</x:v>
      </x:c>
      <x:c r="E53" s="101" t="n">
        <x:v>0</x:v>
      </x:c>
      <x:c r="F53" s="101" t="n">
        <x:v>1</x:v>
      </x:c>
      <x:c r="G53" s="102" t="n">
        <x:f>IFERROR(E53/F53,0)</x:f>
        <x:v>0</x:v>
      </x:c>
      <x:c r="H53" s="106" t="n">
        <x:v>84</x:v>
      </x:c>
      <x:c r="I53" s="105" t="str">
        <x:v>https://search.google.com/search-console/performance/search-analytics?resource_id=sc-domain%3Aphwalls.com</x:v>
      </x:c>
    </x:row>
  </x:sheetData>
  <x:mergeCells>
    <x:mergeCell ref="A1:I1"/>
    <x:mergeCell ref="A2:I2"/>
  </x:mergeCells>
  <x:conditionalFormatting sqref="D5:D53">
    <x:cfRule type="containsText" dxfId="0" priority="1" operator="containsText" text="品牌词"/>
  </x:conditionalFormatting>
  <x:pageMargins left="0.7" right="0.7" top="0.75" bottom="0.75" header="0.3" footer="0.3"/>
  <x:tableParts count="1">
    <x:tablePart xmlns:r="http://schemas.openxmlformats.org/officeDocument/2006/relationships" r:id="R2904810238234c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5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50" hidden="0" customWidth="1"/>
  </x:cols>
  <x:sheetData>
    <x:row r="1" ht="34" customHeight="1">
      <x:c r="A1" s="76" t="str">
        <x:v>GSC 页面数据</x:v>
      </x:c>
      <x:c r="B1" s="76" t="str">
        <x:v>GSC 页面数据</x:v>
      </x:c>
      <x:c r="C1" s="76" t="str">
        <x:v>GSC 页面数据</x:v>
      </x:c>
      <x:c r="D1" s="76" t="str">
        <x:v>GSC 页面数据</x:v>
      </x:c>
      <x:c r="E1" s="76" t="str">
        <x:v>GSC 页面数据</x:v>
      </x:c>
      <x:c r="F1" s="76" t="str">
        <x:v>GSC 页面数据</x:v>
      </x:c>
      <x:c r="G1" s="76" t="str">
        <x:v>GSC 页面数据</x:v>
      </x:c>
      <x:c r="H1" s="76" t="str">
        <x:v>GSC 页面数据</x:v>
      </x:c>
      <x:c r="I1" s="76" t="str">
        <x:v>GSC 页面数据</x:v>
      </x:c>
      <x:c r="J1" s="76" t="str">
        <x:v>GSC 页面数据</x:v>
      </x:c>
    </x:row>
    <x:row r="2">
      <x:c r="A2" s="87" t="str">
        <x:v>黄色“首次上线日期”为人工输入字段；当上线日期不早于该周开始时自动归类为新页面，否则为旧页面。留空会显示“待标注”。</x:v>
      </x:c>
      <x:c r="B2" s="87" t="str">
        <x:v>黄色“首次上线日期”为人工输入字段；当上线日期不早于该周开始时自动归类为新页面，否则为旧页面。留空会显示“待标注”。</x:v>
      </x:c>
      <x:c r="C2" s="87" t="str">
        <x:v>黄色“首次上线日期”为人工输入字段；当上线日期不早于该周开始时自动归类为新页面，否则为旧页面。留空会显示“待标注”。</x:v>
      </x:c>
      <x:c r="D2" s="87" t="str">
        <x:v>黄色“首次上线日期”为人工输入字段；当上线日期不早于该周开始时自动归类为新页面，否则为旧页面。留空会显示“待标注”。</x:v>
      </x:c>
      <x:c r="E2" s="87" t="str">
        <x:v>黄色“首次上线日期”为人工输入字段；当上线日期不早于该周开始时自动归类为新页面，否则为旧页面。留空会显示“待标注”。</x:v>
      </x:c>
      <x:c r="F2" s="87" t="str">
        <x:v>黄色“首次上线日期”为人工输入字段；当上线日期不早于该周开始时自动归类为新页面，否则为旧页面。留空会显示“待标注”。</x:v>
      </x:c>
      <x:c r="G2" s="87" t="str">
        <x:v>黄色“首次上线日期”为人工输入字段；当上线日期不早于该周开始时自动归类为新页面，否则为旧页面。留空会显示“待标注”。</x:v>
      </x:c>
      <x:c r="H2" s="87" t="str">
        <x:v>黄色“首次上线日期”为人工输入字段；当上线日期不早于该周开始时自动归类为新页面，否则为旧页面。留空会显示“待标注”。</x:v>
      </x:c>
      <x:c r="I2" s="87" t="str">
        <x:v>黄色“首次上线日期”为人工输入字段；当上线日期不早于该周开始时自动归类为新页面，否则为旧页面。留空会显示“待标注”。</x:v>
      </x:c>
      <x:c r="J2" s="87" t="str">
        <x:v>黄色“首次上线日期”为人工输入字段；当上线日期不早于该周开始时自动归类为新页面，否则为旧页面。留空会显示“待标注”。</x:v>
      </x:c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</x:row>
    <x:row r="4" ht="28" customHeight="1">
      <x:c r="A4" s="89" t="str">
        <x:v>周开始</x:v>
      </x:c>
      <x:c r="B4" s="90" t="str">
        <x:v>周结束</x:v>
      </x:c>
      <x:c r="C4" s="90" t="str">
        <x:v>页面 URL</x:v>
      </x:c>
      <x:c r="D4" s="90" t="str">
        <x:v>首次上线日期</x:v>
      </x:c>
      <x:c r="E4" s="90" t="str">
        <x:v>新旧页面</x:v>
      </x:c>
      <x:c r="F4" s="90" t="str">
        <x:v>点击</x:v>
      </x:c>
      <x:c r="G4" s="90" t="str">
        <x:v>曝光</x:v>
      </x:c>
      <x:c r="H4" s="90" t="str">
        <x:v>CTR</x:v>
      </x:c>
      <x:c r="I4" s="90" t="str">
        <x:v>平均排名</x:v>
      </x:c>
      <x:c r="J4" s="91" t="str">
        <x:v>来源 URL</x:v>
      </x:c>
    </x:row>
    <x:row r="5">
      <x:c r="A5" s="92" t="n">
        <x:v>46232</x:v>
      </x:c>
      <x:c r="B5" s="92" t="n">
        <x:v>46238</x:v>
      </x:c>
      <x:c r="C5" s="104" t="str">
        <x:v>https://phwalls.com/en</x:v>
      </x:c>
      <x:c r="D5" s="107"/>
      <x:c r="E5" s="104" t="str">
        <x:f>IF(D5="","待标注",IF(D5&gt;=A5,"新页面","旧页面"))</x:f>
        <x:v>待标注</x:v>
      </x:c>
      <x:c r="F5" s="93" t="n">
        <x:v>32</x:v>
      </x:c>
      <x:c r="G5" s="93" t="n">
        <x:v>55</x:v>
      </x:c>
      <x:c r="H5" s="94" t="n">
        <x:f>IFERROR(F5/G5,0)</x:f>
        <x:v>0.5818181818181818</x:v>
      </x:c>
      <x:c r="I5" s="95" t="n">
        <x:v>3.2</x:v>
      </x:c>
      <x:c r="J5" s="104" t="str">
        <x:v>https://search.google.com/search-console/performance/search-analytics?resource_id=sc-domain%3Aphwalls.com</x:v>
      </x:c>
    </x:row>
    <x:row r="6">
      <x:c r="A6" s="97" t="n">
        <x:v>46232</x:v>
      </x:c>
      <x:c r="B6" s="97" t="n">
        <x:v>46238</x:v>
      </x:c>
      <x:c r="C6" s="105" t="str">
        <x:v>https://phwalls.com/en/wallpapers/samsung/samsung-galaxy-a17-5g</x:v>
      </x:c>
      <x:c r="D6" s="108"/>
      <x:c r="E6" s="105" t="str">
        <x:f>IF(D6="","待标注",IF(D6&gt;=A6,"新页面","旧页面"))</x:f>
        <x:v>待标注</x:v>
      </x:c>
      <x:c r="F6" s="101" t="n">
        <x:v>3</x:v>
      </x:c>
      <x:c r="G6" s="101" t="n">
        <x:v>12</x:v>
      </x:c>
      <x:c r="H6" s="102" t="n">
        <x:f>IFERROR(F6/G6,0)</x:f>
        <x:v>0.25</x:v>
      </x:c>
      <x:c r="I6" s="106" t="n">
        <x:v>13.6</x:v>
      </x:c>
      <x:c r="J6" s="105" t="str">
        <x:v>https://search.google.com/search-console/performance/search-analytics?resource_id=sc-domain%3Aphwalls.com</x:v>
      </x:c>
    </x:row>
    <x:row r="7">
      <x:c r="A7" s="97" t="n">
        <x:v>46232</x:v>
      </x:c>
      <x:c r="B7" s="97" t="n">
        <x:v>46238</x:v>
      </x:c>
      <x:c r="C7" s="105" t="str">
        <x:v>https://phwalls.com/vi/wallpapers/honor/honor-600</x:v>
      </x:c>
      <x:c r="D7" s="108"/>
      <x:c r="E7" s="105" t="str">
        <x:f>IF(D7="","待标注",IF(D7&gt;=A7,"新页面","旧页面"))</x:f>
        <x:v>待标注</x:v>
      </x:c>
      <x:c r="F7" s="101" t="n">
        <x:v>2</x:v>
      </x:c>
      <x:c r="G7" s="101" t="n">
        <x:v>8</x:v>
      </x:c>
      <x:c r="H7" s="102" t="n">
        <x:f>IFERROR(F7/G7,0)</x:f>
        <x:v>0.25</x:v>
      </x:c>
      <x:c r="I7" s="106" t="n">
        <x:v>2</x:v>
      </x:c>
      <x:c r="J7" s="105" t="str">
        <x:v>https://search.google.com/search-console/performance/search-analytics?resource_id=sc-domain%3Aphwalls.com</x:v>
      </x:c>
    </x:row>
    <x:row r="8">
      <x:c r="A8" s="97" t="n">
        <x:v>46232</x:v>
      </x:c>
      <x:c r="B8" s="97" t="n">
        <x:v>46238</x:v>
      </x:c>
      <x:c r="C8" s="105" t="str">
        <x:v>https://phwalls.com/en/wallpapers/realme/realme-16-pro</x:v>
      </x:c>
      <x:c r="D8" s="108"/>
      <x:c r="E8" s="105" t="str">
        <x:f>IF(D8="","待标注",IF(D8&gt;=A8,"新页面","旧页面"))</x:f>
        <x:v>待标注</x:v>
      </x:c>
      <x:c r="F8" s="101" t="n">
        <x:v>2</x:v>
      </x:c>
      <x:c r="G8" s="101" t="n">
        <x:v>5</x:v>
      </x:c>
      <x:c r="H8" s="102" t="n">
        <x:f>IFERROR(F8/G8,0)</x:f>
        <x:v>0.4</x:v>
      </x:c>
      <x:c r="I8" s="106" t="n">
        <x:v>19.4</x:v>
      </x:c>
      <x:c r="J8" s="105" t="str">
        <x:v>https://search.google.com/search-console/performance/search-analytics?resource_id=sc-domain%3Aphwalls.com</x:v>
      </x:c>
    </x:row>
    <x:row r="9">
      <x:c r="A9" s="97" t="n">
        <x:v>46232</x:v>
      </x:c>
      <x:c r="B9" s="97" t="n">
        <x:v>46238</x:v>
      </x:c>
      <x:c r="C9" s="105" t="str">
        <x:v>https://phwalls.com/en/wallpapers/google-pixel/google-pixel-10a</x:v>
      </x:c>
      <x:c r="D9" s="108"/>
      <x:c r="E9" s="105" t="str">
        <x:f>IF(D9="","待标注",IF(D9&gt;=A9,"新页面","旧页面"))</x:f>
        <x:v>待标注</x:v>
      </x:c>
      <x:c r="F9" s="101" t="n">
        <x:v>2</x:v>
      </x:c>
      <x:c r="G9" s="101" t="n">
        <x:v>3</x:v>
      </x:c>
      <x:c r="H9" s="102" t="n">
        <x:f>IFERROR(F9/G9,0)</x:f>
        <x:v>0.6666666666666666</x:v>
      </x:c>
      <x:c r="I9" s="106" t="n">
        <x:v>15.3</x:v>
      </x:c>
      <x:c r="J9" s="105" t="str">
        <x:v>https://search.google.com/search-console/performance/search-analytics?resource_id=sc-domain%3Aphwalls.com</x:v>
      </x:c>
    </x:row>
    <x:row r="10">
      <x:c r="A10" s="97" t="n">
        <x:v>46232</x:v>
      </x:c>
      <x:c r="B10" s="97" t="n">
        <x:v>46238</x:v>
      </x:c>
      <x:c r="C10" s="105" t="str">
        <x:v>https://phwalls.com/en/wallpapers/google-pixel/google-pixel-8-pro</x:v>
      </x:c>
      <x:c r="D10" s="108"/>
      <x:c r="E10" s="105" t="str">
        <x:f>IF(D10="","待标注",IF(D10&gt;=A10,"新页面","旧页面"))</x:f>
        <x:v>待标注</x:v>
      </x:c>
      <x:c r="F10" s="101" t="n">
        <x:v>1</x:v>
      </x:c>
      <x:c r="G10" s="101" t="n">
        <x:v>28</x:v>
      </x:c>
      <x:c r="H10" s="102" t="n">
        <x:f>IFERROR(F10/G10,0)</x:f>
        <x:v>0.03571428571428571</x:v>
      </x:c>
      <x:c r="I10" s="106" t="n">
        <x:v>4.1</x:v>
      </x:c>
      <x:c r="J10" s="105" t="str">
        <x:v>https://search.google.com/search-console/performance/search-analytics?resource_id=sc-domain%3Aphwalls.com</x:v>
      </x:c>
    </x:row>
    <x:row r="11">
      <x:c r="A11" s="97" t="n">
        <x:v>46232</x:v>
      </x:c>
      <x:c r="B11" s="97" t="n">
        <x:v>46238</x:v>
      </x:c>
      <x:c r="C11" s="105" t="str">
        <x:v>https://phwalls.com/en/wallpapers/transsion-infinix/infinix-gt-30</x:v>
      </x:c>
      <x:c r="D11" s="108"/>
      <x:c r="E11" s="105" t="str">
        <x:f>IF(D11="","待标注",IF(D11&gt;=A11,"新页面","旧页面"))</x:f>
        <x:v>待标注</x:v>
      </x:c>
      <x:c r="F11" s="101" t="n">
        <x:v>1</x:v>
      </x:c>
      <x:c r="G11" s="101" t="n">
        <x:v>7</x:v>
      </x:c>
      <x:c r="H11" s="102" t="n">
        <x:f>IFERROR(F11/G11,0)</x:f>
        <x:v>0.14285714285714285</x:v>
      </x:c>
      <x:c r="I11" s="106" t="n">
        <x:v>7.7</x:v>
      </x:c>
      <x:c r="J11" s="105" t="str">
        <x:v>https://search.google.com/search-console/performance/search-analytics?resource_id=sc-domain%3Aphwalls.com</x:v>
      </x:c>
    </x:row>
    <x:row r="12">
      <x:c r="A12" s="97" t="n">
        <x:v>46232</x:v>
      </x:c>
      <x:c r="B12" s="97" t="n">
        <x:v>46238</x:v>
      </x:c>
      <x:c r="C12" s="105" t="str">
        <x:v>https://phwalls.com/en/wallpapers/samsung/samsung-galaxy-z-fold-5</x:v>
      </x:c>
      <x:c r="D12" s="108"/>
      <x:c r="E12" s="105" t="str">
        <x:f>IF(D12="","待标注",IF(D12&gt;=A12,"新页面","旧页面"))</x:f>
        <x:v>待标注</x:v>
      </x:c>
      <x:c r="F12" s="101" t="n">
        <x:v>1</x:v>
      </x:c>
      <x:c r="G12" s="101" t="n">
        <x:v>4</x:v>
      </x:c>
      <x:c r="H12" s="102" t="n">
        <x:f>IFERROR(F12/G12,0)</x:f>
        <x:v>0.25</x:v>
      </x:c>
      <x:c r="I12" s="106" t="n">
        <x:v>41.3</x:v>
      </x:c>
      <x:c r="J12" s="105" t="str">
        <x:v>https://search.google.com/search-console/performance/search-analytics?resource_id=sc-domain%3Aphwalls.com</x:v>
      </x:c>
    </x:row>
    <x:row r="13">
      <x:c r="A13" s="97" t="n">
        <x:v>46232</x:v>
      </x:c>
      <x:c r="B13" s="97" t="n">
        <x:v>46238</x:v>
      </x:c>
      <x:c r="C13" s="105" t="str">
        <x:v>https://phwalls.com/en/wallpapers/honor/honor-600</x:v>
      </x:c>
      <x:c r="D13" s="108"/>
      <x:c r="E13" s="105" t="str">
        <x:f>IF(D13="","待标注",IF(D13&gt;=A13,"新页面","旧页面"))</x:f>
        <x:v>待标注</x:v>
      </x:c>
      <x:c r="F13" s="101" t="n">
        <x:v>1</x:v>
      </x:c>
      <x:c r="G13" s="101" t="n">
        <x:v>3</x:v>
      </x:c>
      <x:c r="H13" s="102" t="n">
        <x:f>IFERROR(F13/G13,0)</x:f>
        <x:v>0.3333333333333333</x:v>
      </x:c>
      <x:c r="I13" s="106" t="n">
        <x:v>11.7</x:v>
      </x:c>
      <x:c r="J13" s="105" t="str">
        <x:v>https://search.google.com/search-console/performance/search-analytics?resource_id=sc-domain%3Aphwalls.com</x:v>
      </x:c>
    </x:row>
    <x:row r="14">
      <x:c r="A14" s="97" t="n">
        <x:v>46232</x:v>
      </x:c>
      <x:c r="B14" s="97" t="n">
        <x:v>46238</x:v>
      </x:c>
      <x:c r="C14" s="105" t="str">
        <x:v>https://phwalls.com/en/wallpapers/transsion-tecno/tecno-spark-40-pro</x:v>
      </x:c>
      <x:c r="D14" s="108"/>
      <x:c r="E14" s="105" t="str">
        <x:f>IF(D14="","待标注",IF(D14&gt;=A14,"新页面","旧页面"))</x:f>
        <x:v>待标注</x:v>
      </x:c>
      <x:c r="F14" s="101" t="n">
        <x:v>1</x:v>
      </x:c>
      <x:c r="G14" s="101" t="n">
        <x:v>2</x:v>
      </x:c>
      <x:c r="H14" s="102" t="n">
        <x:f>IFERROR(F14/G14,0)</x:f>
        <x:v>0.5</x:v>
      </x:c>
      <x:c r="I14" s="106" t="n">
        <x:v>25</x:v>
      </x:c>
      <x:c r="J14" s="105" t="str">
        <x:v>https://search.google.com/search-console/performance/search-analytics?resource_id=sc-domain%3Aphwalls.com</x:v>
      </x:c>
    </x:row>
    <x:row r="15">
      <x:c r="A15" s="97" t="n">
        <x:v>46232</x:v>
      </x:c>
      <x:c r="B15" s="97" t="n">
        <x:v>46238</x:v>
      </x:c>
      <x:c r="C15" s="105" t="str">
        <x:v>https://phwalls.com/en/wallpapers/samsung/samsung-galaxy-f70e</x:v>
      </x:c>
      <x:c r="D15" s="108"/>
      <x:c r="E15" s="105" t="str">
        <x:f>IF(D15="","待标注",IF(D15&gt;=A15,"新页面","旧页面"))</x:f>
        <x:v>待标注</x:v>
      </x:c>
      <x:c r="F15" s="101" t="n">
        <x:v>1</x:v>
      </x:c>
      <x:c r="G15" s="101" t="n">
        <x:v>1</x:v>
      </x:c>
      <x:c r="H15" s="102" t="n">
        <x:f>IFERROR(F15/G15,0)</x:f>
        <x:v>1</x:v>
      </x:c>
      <x:c r="I15" s="106" t="n">
        <x:v>12</x:v>
      </x:c>
      <x:c r="J15" s="105" t="str">
        <x:v>https://search.google.com/search-console/performance/search-analytics?resource_id=sc-domain%3Aphwalls.com</x:v>
      </x:c>
    </x:row>
    <x:row r="16">
      <x:c r="A16" s="97" t="n">
        <x:v>46232</x:v>
      </x:c>
      <x:c r="B16" s="97" t="n">
        <x:v>46238</x:v>
      </x:c>
      <x:c r="C16" s="105" t="str">
        <x:v>https://phwalls.com/en/wallpapers/transsion-infinix/infinix-note-60</x:v>
      </x:c>
      <x:c r="D16" s="108"/>
      <x:c r="E16" s="105" t="str">
        <x:f>IF(D16="","待标注",IF(D16&gt;=A16,"新页面","旧页面"))</x:f>
        <x:v>待标注</x:v>
      </x:c>
      <x:c r="F16" s="101" t="n">
        <x:v>0</x:v>
      </x:c>
      <x:c r="G16" s="101" t="n">
        <x:v>40</x:v>
      </x:c>
      <x:c r="H16" s="102" t="n">
        <x:f>IFERROR(F16/G16,0)</x:f>
        <x:v>0</x:v>
      </x:c>
      <x:c r="I16" s="106" t="n">
        <x:v>9.7</x:v>
      </x:c>
      <x:c r="J16" s="105" t="str">
        <x:v>https://search.google.com/search-console/performance/search-analytics?resource_id=sc-domain%3Aphwalls.com</x:v>
      </x:c>
    </x:row>
    <x:row r="17">
      <x:c r="A17" s="97" t="n">
        <x:v>46232</x:v>
      </x:c>
      <x:c r="B17" s="97" t="n">
        <x:v>46238</x:v>
      </x:c>
      <x:c r="C17" s="105" t="str">
        <x:v>https://phwalls.com/en/android</x:v>
      </x:c>
      <x:c r="D17" s="108"/>
      <x:c r="E17" s="105" t="str">
        <x:f>IF(D17="","待标注",IF(D17&gt;=A17,"新页面","旧页面"))</x:f>
        <x:v>待标注</x:v>
      </x:c>
      <x:c r="F17" s="101" t="n">
        <x:v>0</x:v>
      </x:c>
      <x:c r="G17" s="101" t="n">
        <x:v>35</x:v>
      </x:c>
      <x:c r="H17" s="102" t="n">
        <x:f>IFERROR(F17/G17,0)</x:f>
        <x:v>0</x:v>
      </x:c>
      <x:c r="I17" s="106" t="n">
        <x:v>1.2</x:v>
      </x:c>
      <x:c r="J17" s="105" t="str">
        <x:v>https://search.google.com/search-console/performance/search-analytics?resource_id=sc-domain%3Aphwalls.com</x:v>
      </x:c>
    </x:row>
    <x:row r="18">
      <x:c r="A18" s="97" t="n">
        <x:v>46232</x:v>
      </x:c>
      <x:c r="B18" s="97" t="n">
        <x:v>46238</x:v>
      </x:c>
      <x:c r="C18" s="105" t="str">
        <x:v>https://phwalls.com/en/sony</x:v>
      </x:c>
      <x:c r="D18" s="108"/>
      <x:c r="E18" s="105" t="str">
        <x:f>IF(D18="","待标注",IF(D18&gt;=A18,"新页面","旧页面"))</x:f>
        <x:v>待标注</x:v>
      </x:c>
      <x:c r="F18" s="101" t="n">
        <x:v>0</x:v>
      </x:c>
      <x:c r="G18" s="101" t="n">
        <x:v>32</x:v>
      </x:c>
      <x:c r="H18" s="102" t="n">
        <x:f>IFERROR(F18/G18,0)</x:f>
        <x:v>0</x:v>
      </x:c>
      <x:c r="I18" s="106" t="n">
        <x:v>1.2</x:v>
      </x:c>
      <x:c r="J18" s="105" t="str">
        <x:v>https://search.google.com/search-console/performance/search-analytics?resource_id=sc-domain%3Aphwalls.com</x:v>
      </x:c>
    </x:row>
    <x:row r="19">
      <x:c r="A19" s="97" t="n">
        <x:v>46232</x:v>
      </x:c>
      <x:c r="B19" s="97" t="n">
        <x:v>46238</x:v>
      </x:c>
      <x:c r="C19" s="105" t="str">
        <x:v>https://phwalls.com/en/transsion-tecno</x:v>
      </x:c>
      <x:c r="D19" s="108"/>
      <x:c r="E19" s="105" t="str">
        <x:f>IF(D19="","待标注",IF(D19&gt;=A19,"新页面","旧页面"))</x:f>
        <x:v>待标注</x:v>
      </x:c>
      <x:c r="F19" s="101" t="n">
        <x:v>0</x:v>
      </x:c>
      <x:c r="G19" s="101" t="n">
        <x:v>28</x:v>
      </x:c>
      <x:c r="H19" s="102" t="n">
        <x:f>IFERROR(F19/G19,0)</x:f>
        <x:v>0</x:v>
      </x:c>
      <x:c r="I19" s="106" t="n">
        <x:v>1.3</x:v>
      </x:c>
      <x:c r="J19" s="105" t="str">
        <x:v>https://search.google.com/search-console/performance/search-analytics?resource_id=sc-domain%3Aphwalls.com</x:v>
      </x:c>
    </x:row>
    <x:row r="20">
      <x:c r="A20" s="97" t="n">
        <x:v>46232</x:v>
      </x:c>
      <x:c r="B20" s="97" t="n">
        <x:v>46238</x:v>
      </x:c>
      <x:c r="C20" s="105" t="str">
        <x:v>https://phwalls.com/en/nothing</x:v>
      </x:c>
      <x:c r="D20" s="108"/>
      <x:c r="E20" s="105" t="str">
        <x:f>IF(D20="","待标注",IF(D20&gt;=A20,"新页面","旧页面"))</x:f>
        <x:v>待标注</x:v>
      </x:c>
      <x:c r="F20" s="101" t="n">
        <x:v>0</x:v>
      </x:c>
      <x:c r="G20" s="101" t="n">
        <x:v>27</x:v>
      </x:c>
      <x:c r="H20" s="102" t="n">
        <x:f>IFERROR(F20/G20,0)</x:f>
        <x:v>0</x:v>
      </x:c>
      <x:c r="I20" s="106" t="n">
        <x:v>1</x:v>
      </x:c>
      <x:c r="J20" s="105" t="str">
        <x:v>https://search.google.com/search-console/performance/search-analytics?resource_id=sc-domain%3Aphwalls.com</x:v>
      </x:c>
    </x:row>
    <x:row r="21">
      <x:c r="A21" s="97" t="n">
        <x:v>46232</x:v>
      </x:c>
      <x:c r="B21" s="97" t="n">
        <x:v>46238</x:v>
      </x:c>
      <x:c r="C21" s="105" t="str">
        <x:v>https://phwalls.com/en/desktop</x:v>
      </x:c>
      <x:c r="D21" s="108"/>
      <x:c r="E21" s="105" t="str">
        <x:f>IF(D21="","待标注",IF(D21&gt;=A21,"新页面","旧页面"))</x:f>
        <x:v>待标注</x:v>
      </x:c>
      <x:c r="F21" s="101" t="n">
        <x:v>0</x:v>
      </x:c>
      <x:c r="G21" s="101" t="n">
        <x:v>23</x:v>
      </x:c>
      <x:c r="H21" s="102" t="n">
        <x:f>IFERROR(F21/G21,0)</x:f>
        <x:v>0</x:v>
      </x:c>
      <x:c r="I21" s="106" t="n">
        <x:v>1.3</x:v>
      </x:c>
      <x:c r="J21" s="105" t="str">
        <x:v>https://search.google.com/search-console/performance/search-analytics?resource_id=sc-domain%3Aphwalls.com</x:v>
      </x:c>
    </x:row>
    <x:row r="22">
      <x:c r="A22" s="97" t="n">
        <x:v>46232</x:v>
      </x:c>
      <x:c r="B22" s="97" t="n">
        <x:v>46238</x:v>
      </x:c>
      <x:c r="C22" s="105" t="str">
        <x:v>https://phwalls.com/en/vivo</x:v>
      </x:c>
      <x:c r="D22" s="108"/>
      <x:c r="E22" s="105" t="str">
        <x:f>IF(D22="","待标注",IF(D22&gt;=A22,"新页面","旧页面"))</x:f>
        <x:v>待标注</x:v>
      </x:c>
      <x:c r="F22" s="101" t="n">
        <x:v>0</x:v>
      </x:c>
      <x:c r="G22" s="101" t="n">
        <x:v>9</x:v>
      </x:c>
      <x:c r="H22" s="102" t="n">
        <x:f>IFERROR(F22/G22,0)</x:f>
        <x:v>0</x:v>
      </x:c>
      <x:c r="I22" s="106" t="n">
        <x:v>1</x:v>
      </x:c>
      <x:c r="J22" s="105" t="str">
        <x:v>https://search.google.com/search-console/performance/search-analytics?resource_id=sc-domain%3Aphwalls.com</x:v>
      </x:c>
    </x:row>
    <x:row r="23">
      <x:c r="A23" s="97" t="n">
        <x:v>46232</x:v>
      </x:c>
      <x:c r="B23" s="97" t="n">
        <x:v>46238</x:v>
      </x:c>
      <x:c r="C23" s="105" t="str">
        <x:v>https://phwalls.com/en/oppo</x:v>
      </x:c>
      <x:c r="D23" s="108"/>
      <x:c r="E23" s="105" t="str">
        <x:f>IF(D23="","待标注",IF(D23&gt;=A23,"新页面","旧页面"))</x:f>
        <x:v>待标注</x:v>
      </x:c>
      <x:c r="F23" s="101" t="n">
        <x:v>0</x:v>
      </x:c>
      <x:c r="G23" s="101" t="n">
        <x:v>7</x:v>
      </x:c>
      <x:c r="H23" s="102" t="n">
        <x:f>IFERROR(F23/G23,0)</x:f>
        <x:v>0</x:v>
      </x:c>
      <x:c r="I23" s="106" t="n">
        <x:v>3.1</x:v>
      </x:c>
      <x:c r="J23" s="105" t="str">
        <x:v>https://search.google.com/search-console/performance/search-analytics?resource_id=sc-domain%3Aphwalls.com</x:v>
      </x:c>
    </x:row>
    <x:row r="24">
      <x:c r="A24" s="97" t="n">
        <x:v>46232</x:v>
      </x:c>
      <x:c r="B24" s="97" t="n">
        <x:v>46238</x:v>
      </x:c>
      <x:c r="C24" s="105" t="str">
        <x:v>https://phwalls.com/en/wallpapers/oppo/oppo-reno-15-pro</x:v>
      </x:c>
      <x:c r="D24" s="108"/>
      <x:c r="E24" s="105" t="str">
        <x:f>IF(D24="","待标注",IF(D24&gt;=A24,"新页面","旧页面"))</x:f>
        <x:v>待标注</x:v>
      </x:c>
      <x:c r="F24" s="101" t="n">
        <x:v>0</x:v>
      </x:c>
      <x:c r="G24" s="101" t="n">
        <x:v>7</x:v>
      </x:c>
      <x:c r="H24" s="102" t="n">
        <x:f>IFERROR(F24/G24,0)</x:f>
        <x:v>0</x:v>
      </x:c>
      <x:c r="I24" s="106" t="n">
        <x:v>7</x:v>
      </x:c>
      <x:c r="J24" s="105" t="str">
        <x:v>https://search.google.com/search-console/performance/search-analytics?resource_id=sc-domain%3Aphwalls.com</x:v>
      </x:c>
    </x:row>
    <x:row r="25">
      <x:c r="A25" s="97" t="n">
        <x:v>46232</x:v>
      </x:c>
      <x:c r="B25" s="97" t="n">
        <x:v>46238</x:v>
      </x:c>
      <x:c r="C25" s="105" t="str">
        <x:v>https://phwalls.com/en/honor</x:v>
      </x:c>
      <x:c r="D25" s="108"/>
      <x:c r="E25" s="105" t="str">
        <x:f>IF(D25="","待标注",IF(D25&gt;=A25,"新页面","旧页面"))</x:f>
        <x:v>待标注</x:v>
      </x:c>
      <x:c r="F25" s="101" t="n">
        <x:v>0</x:v>
      </x:c>
      <x:c r="G25" s="101" t="n">
        <x:v>6</x:v>
      </x:c>
      <x:c r="H25" s="102" t="n">
        <x:f>IFERROR(F25/G25,0)</x:f>
        <x:v>0</x:v>
      </x:c>
      <x:c r="I25" s="106" t="n">
        <x:v>2.7</x:v>
      </x:c>
      <x:c r="J25" s="105" t="str">
        <x:v>https://search.google.com/search-console/performance/search-analytics?resource_id=sc-domain%3Aphwalls.com</x:v>
      </x:c>
    </x:row>
    <x:row r="26">
      <x:c r="A26" s="97" t="n">
        <x:v>46232</x:v>
      </x:c>
      <x:c r="B26" s="97" t="n">
        <x:v>46238</x:v>
      </x:c>
      <x:c r="C26" s="105" t="str">
        <x:v>https://phwalls.com/en/wallpapers/honor/honor-magic-6-pro</x:v>
      </x:c>
      <x:c r="D26" s="108"/>
      <x:c r="E26" s="105" t="str">
        <x:f>IF(D26="","待标注",IF(D26&gt;=A26,"新页面","旧页面"))</x:f>
        <x:v>待标注</x:v>
      </x:c>
      <x:c r="F26" s="101" t="n">
        <x:v>0</x:v>
      </x:c>
      <x:c r="G26" s="101" t="n">
        <x:v>5</x:v>
      </x:c>
      <x:c r="H26" s="102" t="n">
        <x:f>IFERROR(F26/G26,0)</x:f>
        <x:v>0</x:v>
      </x:c>
      <x:c r="I26" s="106" t="n">
        <x:v>29</x:v>
      </x:c>
      <x:c r="J26" s="105" t="str">
        <x:v>https://search.google.com/search-console/performance/search-analytics?resource_id=sc-domain%3Aphwalls.com</x:v>
      </x:c>
    </x:row>
    <x:row r="27">
      <x:c r="A27" s="97" t="n">
        <x:v>46232</x:v>
      </x:c>
      <x:c r="B27" s="97" t="n">
        <x:v>46238</x:v>
      </x:c>
      <x:c r="C27" s="105" t="str">
        <x:v>https://phwalls.com/zh-hant/wallpapers/samsung/samsung-galaxy-z-fold-7</x:v>
      </x:c>
      <x:c r="D27" s="108"/>
      <x:c r="E27" s="105" t="str">
        <x:f>IF(D27="","待标注",IF(D27&gt;=A27,"新页面","旧页面"))</x:f>
        <x:v>待标注</x:v>
      </x:c>
      <x:c r="F27" s="101" t="n">
        <x:v>0</x:v>
      </x:c>
      <x:c r="G27" s="101" t="n">
        <x:v>5</x:v>
      </x:c>
      <x:c r="H27" s="102" t="n">
        <x:f>IFERROR(F27/G27,0)</x:f>
        <x:v>0</x:v>
      </x:c>
      <x:c r="I27" s="106" t="n">
        <x:v>66.4</x:v>
      </x:c>
      <x:c r="J27" s="105" t="str">
        <x:v>https://search.google.com/search-console/performance/search-analytics?resource_id=sc-domain%3Aphwalls.com</x:v>
      </x:c>
    </x:row>
    <x:row r="28">
      <x:c r="A28" s="97" t="n">
        <x:v>46232</x:v>
      </x:c>
      <x:c r="B28" s="97" t="n">
        <x:v>46238</x:v>
      </x:c>
      <x:c r="C28" s="105" t="str">
        <x:v>https://phwalls.com/zh/wallpapers/sony/sony-xperia-5</x:v>
      </x:c>
      <x:c r="D28" s="108"/>
      <x:c r="E28" s="105" t="str">
        <x:f>IF(D28="","待标注",IF(D28&gt;=A28,"新页面","旧页面"))</x:f>
        <x:v>待标注</x:v>
      </x:c>
      <x:c r="F28" s="101" t="n">
        <x:v>0</x:v>
      </x:c>
      <x:c r="G28" s="101" t="n">
        <x:v>4</x:v>
      </x:c>
      <x:c r="H28" s="102" t="n">
        <x:f>IFERROR(F28/G28,0)</x:f>
        <x:v>0</x:v>
      </x:c>
      <x:c r="I28" s="106" t="n">
        <x:v>45.5</x:v>
      </x:c>
      <x:c r="J28" s="105" t="str">
        <x:v>https://search.google.com/search-console/performance/search-analytics?resource_id=sc-domain%3Aphwalls.com</x:v>
      </x:c>
    </x:row>
    <x:row r="29">
      <x:c r="A29" s="97" t="n">
        <x:v>46232</x:v>
      </x:c>
      <x:c r="B29" s="97" t="n">
        <x:v>46238</x:v>
      </x:c>
      <x:c r="C29" s="105" t="str">
        <x:v>https://phwalls.com/en/wallpapers/motorola/moto-g86-and-g86-power</x:v>
      </x:c>
      <x:c r="D29" s="108"/>
      <x:c r="E29" s="105" t="str">
        <x:f>IF(D29="","待标注",IF(D29&gt;=A29,"新页面","旧页面"))</x:f>
        <x:v>待标注</x:v>
      </x:c>
      <x:c r="F29" s="101" t="n">
        <x:v>0</x:v>
      </x:c>
      <x:c r="G29" s="101" t="n">
        <x:v>3</x:v>
      </x:c>
      <x:c r="H29" s="102" t="n">
        <x:f>IFERROR(F29/G29,0)</x:f>
        <x:v>0</x:v>
      </x:c>
      <x:c r="I29" s="106" t="n">
        <x:v>10</x:v>
      </x:c>
      <x:c r="J29" s="105" t="str">
        <x:v>https://search.google.com/search-console/performance/search-analytics?resource_id=sc-domain%3Aphwalls.com</x:v>
      </x:c>
    </x:row>
    <x:row r="30">
      <x:c r="A30" s="97" t="n">
        <x:v>46232</x:v>
      </x:c>
      <x:c r="B30" s="97" t="n">
        <x:v>46238</x:v>
      </x:c>
      <x:c r="C30" s="105" t="str">
        <x:v>https://phwalls.com/en/desktop/wallpapers/ubuntu/ubuntu-23-10-mantic-minotaur</x:v>
      </x:c>
      <x:c r="D30" s="108"/>
      <x:c r="E30" s="105" t="str">
        <x:f>IF(D30="","待标注",IF(D30&gt;=A30,"新页面","旧页面"))</x:f>
        <x:v>待标注</x:v>
      </x:c>
      <x:c r="F30" s="101" t="n">
        <x:v>0</x:v>
      </x:c>
      <x:c r="G30" s="101" t="n">
        <x:v>3</x:v>
      </x:c>
      <x:c r="H30" s="102" t="n">
        <x:f>IFERROR(F30/G30,0)</x:f>
        <x:v>0</x:v>
      </x:c>
      <x:c r="I30" s="106" t="n">
        <x:v>37.7</x:v>
      </x:c>
      <x:c r="J30" s="105" t="str">
        <x:v>https://search.google.com/search-console/performance/search-analytics?resource_id=sc-domain%3Aphwalls.com</x:v>
      </x:c>
    </x:row>
    <x:row r="31">
      <x:c r="A31" s="97" t="n">
        <x:v>46232</x:v>
      </x:c>
      <x:c r="B31" s="97" t="n">
        <x:v>46238</x:v>
      </x:c>
      <x:c r="C31" s="105" t="str">
        <x:v>https://phwalls.com/en/wallpapers/honor/honor-500-pro</x:v>
      </x:c>
      <x:c r="D31" s="108"/>
      <x:c r="E31" s="105" t="str">
        <x:f>IF(D31="","待标注",IF(D31&gt;=A31,"新页面","旧页面"))</x:f>
        <x:v>待标注</x:v>
      </x:c>
      <x:c r="F31" s="101" t="n">
        <x:v>0</x:v>
      </x:c>
      <x:c r="G31" s="101" t="n">
        <x:v>2</x:v>
      </x:c>
      <x:c r="H31" s="102" t="n">
        <x:f>IFERROR(F31/G31,0)</x:f>
        <x:v>0</x:v>
      </x:c>
      <x:c r="I31" s="106" t="n">
        <x:v>1</x:v>
      </x:c>
      <x:c r="J31" s="105" t="str">
        <x:v>https://search.google.com/search-console/performance/search-analytics?resource_id=sc-domain%3Aphwalls.com</x:v>
      </x:c>
    </x:row>
    <x:row r="32">
      <x:c r="A32" s="97" t="n">
        <x:v>46232</x:v>
      </x:c>
      <x:c r="B32" s="97" t="n">
        <x:v>46238</x:v>
      </x:c>
      <x:c r="C32" s="105" t="str">
        <x:v>https://phwalls.com/en/wallpapers/transsion-tecno/tecno-camon-40-pro</x:v>
      </x:c>
      <x:c r="D32" s="108"/>
      <x:c r="E32" s="105" t="str">
        <x:f>IF(D32="","待标注",IF(D32&gt;=A32,"新页面","旧页面"))</x:f>
        <x:v>待标注</x:v>
      </x:c>
      <x:c r="F32" s="101" t="n">
        <x:v>0</x:v>
      </x:c>
      <x:c r="G32" s="101" t="n">
        <x:v>2</x:v>
      </x:c>
      <x:c r="H32" s="102" t="n">
        <x:f>IFERROR(F32/G32,0)</x:f>
        <x:v>0</x:v>
      </x:c>
      <x:c r="I32" s="106" t="n">
        <x:v>1</x:v>
      </x:c>
      <x:c r="J32" s="105" t="str">
        <x:v>https://search.google.com/search-console/performance/search-analytics?resource_id=sc-domain%3Aphwalls.com</x:v>
      </x:c>
    </x:row>
    <x:row r="33">
      <x:c r="A33" s="97" t="n">
        <x:v>46232</x:v>
      </x:c>
      <x:c r="B33" s="97" t="n">
        <x:v>46238</x:v>
      </x:c>
      <x:c r="C33" s="105" t="str">
        <x:v>https://phwalls.com/zh/android</x:v>
      </x:c>
      <x:c r="D33" s="108"/>
      <x:c r="E33" s="105" t="str">
        <x:f>IF(D33="","待标注",IF(D33&gt;=A33,"新页面","旧页面"))</x:f>
        <x:v>待标注</x:v>
      </x:c>
      <x:c r="F33" s="101" t="n">
        <x:v>0</x:v>
      </x:c>
      <x:c r="G33" s="101" t="n">
        <x:v>2</x:v>
      </x:c>
      <x:c r="H33" s="102" t="n">
        <x:f>IFERROR(F33/G33,0)</x:f>
        <x:v>0</x:v>
      </x:c>
      <x:c r="I33" s="106" t="n">
        <x:v>1</x:v>
      </x:c>
      <x:c r="J33" s="105" t="str">
        <x:v>https://search.google.com/search-console/performance/search-analytics?resource_id=sc-domain%3Aphwalls.com</x:v>
      </x:c>
    </x:row>
    <x:row r="34">
      <x:c r="A34" s="97" t="n">
        <x:v>46232</x:v>
      </x:c>
      <x:c r="B34" s="97" t="n">
        <x:v>46238</x:v>
      </x:c>
      <x:c r="C34" s="105" t="str">
        <x:v>https://phwalls.com/zh-hant/wallpapers/xiaomi/redmi-note-12-pro</x:v>
      </x:c>
      <x:c r="D34" s="108"/>
      <x:c r="E34" s="105" t="str">
        <x:f>IF(D34="","待标注",IF(D34&gt;=A34,"新页面","旧页面"))</x:f>
        <x:v>待标注</x:v>
      </x:c>
      <x:c r="F34" s="101" t="n">
        <x:v>0</x:v>
      </x:c>
      <x:c r="G34" s="101" t="n">
        <x:v>2</x:v>
      </x:c>
      <x:c r="H34" s="102" t="n">
        <x:f>IFERROR(F34/G34,0)</x:f>
        <x:v>0</x:v>
      </x:c>
      <x:c r="I34" s="106" t="n">
        <x:v>2</x:v>
      </x:c>
      <x:c r="J34" s="105" t="str">
        <x:v>https://search.google.com/search-console/performance/search-analytics?resource_id=sc-domain%3Aphwalls.com</x:v>
      </x:c>
    </x:row>
    <x:row r="35">
      <x:c r="A35" s="97" t="n">
        <x:v>46232</x:v>
      </x:c>
      <x:c r="B35" s="97" t="n">
        <x:v>46238</x:v>
      </x:c>
      <x:c r="C35" s="105" t="str">
        <x:v>https://phwalls.com/zh/about</x:v>
      </x:c>
      <x:c r="D35" s="108"/>
      <x:c r="E35" s="105" t="str">
        <x:f>IF(D35="","待标注",IF(D35&gt;=A35,"新页面","旧页面"))</x:f>
        <x:v>待标注</x:v>
      </x:c>
      <x:c r="F35" s="101" t="n">
        <x:v>0</x:v>
      </x:c>
      <x:c r="G35" s="101" t="n">
        <x:v>2</x:v>
      </x:c>
      <x:c r="H35" s="102" t="n">
        <x:f>IFERROR(F35/G35,0)</x:f>
        <x:v>0</x:v>
      </x:c>
      <x:c r="I35" s="106" t="n">
        <x:v>2</x:v>
      </x:c>
      <x:c r="J35" s="105" t="str">
        <x:v>https://search.google.com/search-console/performance/search-analytics?resource_id=sc-domain%3Aphwalls.com</x:v>
      </x:c>
    </x:row>
    <x:row r="36">
      <x:c r="A36" s="97" t="n">
        <x:v>46232</x:v>
      </x:c>
      <x:c r="B36" s="97" t="n">
        <x:v>46238</x:v>
      </x:c>
      <x:c r="C36" s="105" t="str">
        <x:v>https://phwalls.com/vi/wallpapers/motorola/moto-razr-50-ultra</x:v>
      </x:c>
      <x:c r="D36" s="108"/>
      <x:c r="E36" s="105" t="str">
        <x:f>IF(D36="","待标注",IF(D36&gt;=A36,"新页面","旧页面"))</x:f>
        <x:v>待标注</x:v>
      </x:c>
      <x:c r="F36" s="101" t="n">
        <x:v>0</x:v>
      </x:c>
      <x:c r="G36" s="101" t="n">
        <x:v>2</x:v>
      </x:c>
      <x:c r="H36" s="102" t="n">
        <x:f>IFERROR(F36/G36,0)</x:f>
        <x:v>0</x:v>
      </x:c>
      <x:c r="I36" s="106" t="n">
        <x:v>7</x:v>
      </x:c>
      <x:c r="J36" s="105" t="str">
        <x:v>https://search.google.com/search-console/performance/search-analytics?resource_id=sc-domain%3Aphwalls.com</x:v>
      </x:c>
    </x:row>
    <x:row r="37">
      <x:c r="A37" s="97" t="n">
        <x:v>46232</x:v>
      </x:c>
      <x:c r="B37" s="97" t="n">
        <x:v>46238</x:v>
      </x:c>
      <x:c r="C37" s="105" t="str">
        <x:v>https://phwalls.com/en/wallpapers/huawei/huawei-mate-80-pro</x:v>
      </x:c>
      <x:c r="D37" s="108"/>
      <x:c r="E37" s="105" t="str">
        <x:f>IF(D37="","待标注",IF(D37&gt;=A37,"新页面","旧页面"))</x:f>
        <x:v>待标注</x:v>
      </x:c>
      <x:c r="F37" s="101" t="n">
        <x:v>0</x:v>
      </x:c>
      <x:c r="G37" s="101" t="n">
        <x:v>2</x:v>
      </x:c>
      <x:c r="H37" s="102" t="n">
        <x:f>IFERROR(F37/G37,0)</x:f>
        <x:v>0</x:v>
      </x:c>
      <x:c r="I37" s="106" t="n">
        <x:v>11.5</x:v>
      </x:c>
      <x:c r="J37" s="105" t="str">
        <x:v>https://search.google.com/search-console/performance/search-analytics?resource_id=sc-domain%3Aphwalls.com</x:v>
      </x:c>
    </x:row>
    <x:row r="38">
      <x:c r="A38" s="97" t="n">
        <x:v>46232</x:v>
      </x:c>
      <x:c r="B38" s="97" t="n">
        <x:v>46238</x:v>
      </x:c>
      <x:c r="C38" s="105" t="str">
        <x:v>https://phwalls.com/en/wallpapers/motorola/moto-edge-70-fusion</x:v>
      </x:c>
      <x:c r="D38" s="108"/>
      <x:c r="E38" s="105" t="str">
        <x:f>IF(D38="","待标注",IF(D38&gt;=A38,"新页面","旧页面"))</x:f>
        <x:v>待标注</x:v>
      </x:c>
      <x:c r="F38" s="101" t="n">
        <x:v>0</x:v>
      </x:c>
      <x:c r="G38" s="101" t="n">
        <x:v>2</x:v>
      </x:c>
      <x:c r="H38" s="102" t="n">
        <x:f>IFERROR(F38/G38,0)</x:f>
        <x:v>0</x:v>
      </x:c>
      <x:c r="I38" s="106" t="n">
        <x:v>14</x:v>
      </x:c>
      <x:c r="J38" s="105" t="str">
        <x:v>https://search.google.com/search-console/performance/search-analytics?resource_id=sc-domain%3Aphwalls.com</x:v>
      </x:c>
    </x:row>
    <x:row r="39">
      <x:c r="A39" s="97" t="n">
        <x:v>46232</x:v>
      </x:c>
      <x:c r="B39" s="97" t="n">
        <x:v>46238</x:v>
      </x:c>
      <x:c r="C39" s="105" t="str">
        <x:v>https://phwalls.com/en/wallpapers/transsion-infinix/infinix-hot-60-pro</x:v>
      </x:c>
      <x:c r="D39" s="108"/>
      <x:c r="E39" s="105" t="str">
        <x:f>IF(D39="","待标注",IF(D39&gt;=A39,"新页面","旧页面"))</x:f>
        <x:v>待标注</x:v>
      </x:c>
      <x:c r="F39" s="101" t="n">
        <x:v>0</x:v>
      </x:c>
      <x:c r="G39" s="101" t="n">
        <x:v>2</x:v>
      </x:c>
      <x:c r="H39" s="102" t="n">
        <x:f>IFERROR(F39/G39,0)</x:f>
        <x:v>0</x:v>
      </x:c>
      <x:c r="I39" s="106" t="n">
        <x:v>24.5</x:v>
      </x:c>
      <x:c r="J39" s="105" t="str">
        <x:v>https://search.google.com/search-console/performance/search-analytics?resource_id=sc-domain%3Aphwalls.com</x:v>
      </x:c>
    </x:row>
    <x:row r="40">
      <x:c r="A40" s="97" t="n">
        <x:v>46232</x:v>
      </x:c>
      <x:c r="B40" s="97" t="n">
        <x:v>46238</x:v>
      </x:c>
      <x:c r="C40" s="105" t="str">
        <x:v>https://phwalls.com/zh/wallpapers/samsung/samsung-galaxy-z-fold-4</x:v>
      </x:c>
      <x:c r="D40" s="108"/>
      <x:c r="E40" s="105" t="str">
        <x:f>IF(D40="","待标注",IF(D40&gt;=A40,"新页面","旧页面"))</x:f>
        <x:v>待标注</x:v>
      </x:c>
      <x:c r="F40" s="101" t="n">
        <x:v>0</x:v>
      </x:c>
      <x:c r="G40" s="101" t="n">
        <x:v>2</x:v>
      </x:c>
      <x:c r="H40" s="102" t="n">
        <x:f>IFERROR(F40/G40,0)</x:f>
        <x:v>0</x:v>
      </x:c>
      <x:c r="I40" s="106" t="n">
        <x:v>40.5</x:v>
      </x:c>
      <x:c r="J40" s="105" t="str">
        <x:v>https://search.google.com/search-console/performance/search-analytics?resource_id=sc-domain%3Aphwalls.com</x:v>
      </x:c>
    </x:row>
    <x:row r="41">
      <x:c r="A41" s="97" t="n">
        <x:v>46232</x:v>
      </x:c>
      <x:c r="B41" s="97" t="n">
        <x:v>46238</x:v>
      </x:c>
      <x:c r="C41" s="105" t="str">
        <x:v>https://phwalls.com/en/wallpapers/google-pixel/google-pixel-9-pro</x:v>
      </x:c>
      <x:c r="D41" s="108"/>
      <x:c r="E41" s="105" t="str">
        <x:f>IF(D41="","待标注",IF(D41&gt;=A41,"新页面","旧页面"))</x:f>
        <x:v>待标注</x:v>
      </x:c>
      <x:c r="F41" s="101" t="n">
        <x:v>0</x:v>
      </x:c>
      <x:c r="G41" s="101" t="n">
        <x:v>2</x:v>
      </x:c>
      <x:c r="H41" s="102" t="n">
        <x:f>IFERROR(F41/G41,0)</x:f>
        <x:v>0</x:v>
      </x:c>
      <x:c r="I41" s="106" t="n">
        <x:v>48.5</x:v>
      </x:c>
      <x:c r="J41" s="105" t="str">
        <x:v>https://search.google.com/search-console/performance/search-analytics?resource_id=sc-domain%3Aphwalls.com</x:v>
      </x:c>
    </x:row>
    <x:row r="42">
      <x:c r="A42" s="97" t="n">
        <x:v>46232</x:v>
      </x:c>
      <x:c r="B42" s="97" t="n">
        <x:v>46238</x:v>
      </x:c>
      <x:c r="C42" s="105" t="str">
        <x:v>https://phwalls.com/en/wallpapers/google-pixel/google-pixel-11-pro</x:v>
      </x:c>
      <x:c r="D42" s="108"/>
      <x:c r="E42" s="105" t="str">
        <x:f>IF(D42="","待标注",IF(D42&gt;=A42,"新页面","旧页面"))</x:f>
        <x:v>待标注</x:v>
      </x:c>
      <x:c r="F42" s="101" t="n">
        <x:v>0</x:v>
      </x:c>
      <x:c r="G42" s="101" t="n">
        <x:v>1</x:v>
      </x:c>
      <x:c r="H42" s="102" t="n">
        <x:f>IFERROR(F42/G42,0)</x:f>
        <x:v>0</x:v>
      </x:c>
      <x:c r="I42" s="106" t="n">
        <x:v>1</x:v>
      </x:c>
      <x:c r="J42" s="105" t="str">
        <x:v>https://search.google.com/search-console/performance/search-analytics?resource_id=sc-domain%3Aphwalls.com</x:v>
      </x:c>
    </x:row>
    <x:row r="43">
      <x:c r="A43" s="97" t="n">
        <x:v>46232</x:v>
      </x:c>
      <x:c r="B43" s="97" t="n">
        <x:v>46238</x:v>
      </x:c>
      <x:c r="C43" s="105" t="str">
        <x:v>https://phwalls.com/en/wallpapers/transsion-infinix/infinix-zero-5g</x:v>
      </x:c>
      <x:c r="D43" s="108"/>
      <x:c r="E43" s="105" t="str">
        <x:f>IF(D43="","待标注",IF(D43&gt;=A43,"新页面","旧页面"))</x:f>
        <x:v>待标注</x:v>
      </x:c>
      <x:c r="F43" s="101" t="n">
        <x:v>0</x:v>
      </x:c>
      <x:c r="G43" s="101" t="n">
        <x:v>1</x:v>
      </x:c>
      <x:c r="H43" s="102" t="n">
        <x:f>IFERROR(F43/G43,0)</x:f>
        <x:v>0</x:v>
      </x:c>
      <x:c r="I43" s="106" t="n">
        <x:v>1</x:v>
      </x:c>
      <x:c r="J43" s="105" t="str">
        <x:v>https://search.google.com/search-console/performance/search-analytics?resource_id=sc-domain%3Aphwalls.com</x:v>
      </x:c>
    </x:row>
    <x:row r="44">
      <x:c r="A44" s="97" t="n">
        <x:v>46232</x:v>
      </x:c>
      <x:c r="B44" s="97" t="n">
        <x:v>46238</x:v>
      </x:c>
      <x:c r="C44" s="105" t="str">
        <x:v>https://phwalls.com/en/wallpapers/transsion-tecno/tecno-spark-slim</x:v>
      </x:c>
      <x:c r="D44" s="108"/>
      <x:c r="E44" s="105" t="str">
        <x:f>IF(D44="","待标注",IF(D44&gt;=A44,"新页面","旧页面"))</x:f>
        <x:v>待标注</x:v>
      </x:c>
      <x:c r="F44" s="101" t="n">
        <x:v>0</x:v>
      </x:c>
      <x:c r="G44" s="101" t="n">
        <x:v>1</x:v>
      </x:c>
      <x:c r="H44" s="102" t="n">
        <x:f>IFERROR(F44/G44,0)</x:f>
        <x:v>0</x:v>
      </x:c>
      <x:c r="I44" s="106" t="n">
        <x:v>1</x:v>
      </x:c>
      <x:c r="J44" s="105" t="str">
        <x:v>https://search.google.com/search-console/performance/search-analytics?resource_id=sc-domain%3Aphwalls.com</x:v>
      </x:c>
    </x:row>
    <x:row r="45">
      <x:c r="A45" s="97" t="n">
        <x:v>46232</x:v>
      </x:c>
      <x:c r="B45" s="97" t="n">
        <x:v>46238</x:v>
      </x:c>
      <x:c r="C45" s="105" t="str">
        <x:v>https://phwalls.com/en/wallpapers/xiaomi/redmi-turbo-5-max</x:v>
      </x:c>
      <x:c r="D45" s="108"/>
      <x:c r="E45" s="105" t="str">
        <x:f>IF(D45="","待标注",IF(D45&gt;=A45,"新页面","旧页面"))</x:f>
        <x:v>待标注</x:v>
      </x:c>
      <x:c r="F45" s="101" t="n">
        <x:v>0</x:v>
      </x:c>
      <x:c r="G45" s="101" t="n">
        <x:v>1</x:v>
      </x:c>
      <x:c r="H45" s="102" t="n">
        <x:f>IFERROR(F45/G45,0)</x:f>
        <x:v>0</x:v>
      </x:c>
      <x:c r="I45" s="106" t="n">
        <x:v>1</x:v>
      </x:c>
      <x:c r="J45" s="105" t="str">
        <x:v>https://search.google.com/search-console/performance/search-analytics?resource_id=sc-domain%3Aphwalls.com</x:v>
      </x:c>
    </x:row>
    <x:row r="46">
      <x:c r="A46" s="97" t="n">
        <x:v>46232</x:v>
      </x:c>
      <x:c r="B46" s="97" t="n">
        <x:v>46238</x:v>
      </x:c>
      <x:c r="C46" s="105" t="str">
        <x:v>https://phwalls.com/vi/oppo</x:v>
      </x:c>
      <x:c r="D46" s="108"/>
      <x:c r="E46" s="105" t="str">
        <x:f>IF(D46="","待标注",IF(D46&gt;=A46,"新页面","旧页面"))</x:f>
        <x:v>待标注</x:v>
      </x:c>
      <x:c r="F46" s="101" t="n">
        <x:v>0</x:v>
      </x:c>
      <x:c r="G46" s="101" t="n">
        <x:v>1</x:v>
      </x:c>
      <x:c r="H46" s="102" t="n">
        <x:f>IFERROR(F46/G46,0)</x:f>
        <x:v>0</x:v>
      </x:c>
      <x:c r="I46" s="106" t="n">
        <x:v>1</x:v>
      </x:c>
      <x:c r="J46" s="105" t="str">
        <x:v>https://search.google.com/search-console/performance/search-analytics?resource_id=sc-domain%3Aphwalls.com</x:v>
      </x:c>
    </x:row>
    <x:row r="47">
      <x:c r="A47" s="97" t="n">
        <x:v>46232</x:v>
      </x:c>
      <x:c r="B47" s="97" t="n">
        <x:v>46238</x:v>
      </x:c>
      <x:c r="C47" s="105" t="str">
        <x:v>https://phwalls.com/zh/desktop/wallpapers/ubuntu/ubuntu-5-04-hoary-hedgehog</x:v>
      </x:c>
      <x:c r="D47" s="108"/>
      <x:c r="E47" s="105" t="str">
        <x:f>IF(D47="","待标注",IF(D47&gt;=A47,"新页面","旧页面"))</x:f>
        <x:v>待标注</x:v>
      </x:c>
      <x:c r="F47" s="101" t="n">
        <x:v>0</x:v>
      </x:c>
      <x:c r="G47" s="101" t="n">
        <x:v>1</x:v>
      </x:c>
      <x:c r="H47" s="102" t="n">
        <x:f>IFERROR(F47/G47,0)</x:f>
        <x:v>0</x:v>
      </x:c>
      <x:c r="I47" s="106" t="n">
        <x:v>1</x:v>
      </x:c>
      <x:c r="J47" s="105" t="str">
        <x:v>https://search.google.com/search-console/performance/search-analytics?resource_id=sc-domain%3Aphwalls.com</x:v>
      </x:c>
    </x:row>
    <x:row r="48">
      <x:c r="A48" s="97" t="n">
        <x:v>46232</x:v>
      </x:c>
      <x:c r="B48" s="97" t="n">
        <x:v>46238</x:v>
      </x:c>
      <x:c r="C48" s="105" t="str">
        <x:v>https://phwalls.com/zh/wallpapers/oppo/oppo-find-x9-ultra</x:v>
      </x:c>
      <x:c r="D48" s="108"/>
      <x:c r="E48" s="105" t="str">
        <x:f>IF(D48="","待标注",IF(D48&gt;=A48,"新页面","旧页面"))</x:f>
        <x:v>待标注</x:v>
      </x:c>
      <x:c r="F48" s="101" t="n">
        <x:v>0</x:v>
      </x:c>
      <x:c r="G48" s="101" t="n">
        <x:v>1</x:v>
      </x:c>
      <x:c r="H48" s="102" t="n">
        <x:f>IFERROR(F48/G48,0)</x:f>
        <x:v>0</x:v>
      </x:c>
      <x:c r="I48" s="106" t="n">
        <x:v>1</x:v>
      </x:c>
      <x:c r="J48" s="105" t="str">
        <x:v>https://search.google.com/search-console/performance/search-analytics?resource_id=sc-domain%3Aphwalls.com</x:v>
      </x:c>
    </x:row>
    <x:row r="49">
      <x:c r="A49" s="97" t="n">
        <x:v>46232</x:v>
      </x:c>
      <x:c r="B49" s="97" t="n">
        <x:v>46238</x:v>
      </x:c>
      <x:c r="C49" s="105" t="str">
        <x:v>https://phwalls.com/en/wallpapers/xiaomi/xiaomi-17-ultra-leica-edition</x:v>
      </x:c>
      <x:c r="D49" s="108"/>
      <x:c r="E49" s="105" t="str">
        <x:f>IF(D49="","待标注",IF(D49&gt;=A49,"新页面","旧页面"))</x:f>
        <x:v>待标注</x:v>
      </x:c>
      <x:c r="F49" s="101" t="n">
        <x:v>0</x:v>
      </x:c>
      <x:c r="G49" s="101" t="n">
        <x:v>1</x:v>
      </x:c>
      <x:c r="H49" s="102" t="n">
        <x:f>IFERROR(F49/G49,0)</x:f>
        <x:v>0</x:v>
      </x:c>
      <x:c r="I49" s="106" t="n">
        <x:v>2</x:v>
      </x:c>
      <x:c r="J49" s="105" t="str">
        <x:v>https://search.google.com/search-console/performance/search-analytics?resource_id=sc-domain%3Aphwalls.com</x:v>
      </x:c>
    </x:row>
    <x:row r="50">
      <x:c r="A50" s="97" t="n">
        <x:v>46232</x:v>
      </x:c>
      <x:c r="B50" s="97" t="n">
        <x:v>46238</x:v>
      </x:c>
      <x:c r="C50" s="105" t="str">
        <x:v>https://phwalls.com/en/wallpapers/vivo/vivo-x300-pro</x:v>
      </x:c>
      <x:c r="D50" s="108"/>
      <x:c r="E50" s="105" t="str">
        <x:f>IF(D50="","待标注",IF(D50&gt;=A50,"新页面","旧页面"))</x:f>
        <x:v>待标注</x:v>
      </x:c>
      <x:c r="F50" s="101" t="n">
        <x:v>0</x:v>
      </x:c>
      <x:c r="G50" s="101" t="n">
        <x:v>1</x:v>
      </x:c>
      <x:c r="H50" s="102" t="n">
        <x:f>IFERROR(F50/G50,0)</x:f>
        <x:v>0</x:v>
      </x:c>
      <x:c r="I50" s="106" t="n">
        <x:v>4</x:v>
      </x:c>
      <x:c r="J50" s="105" t="str">
        <x:v>https://search.google.com/search-console/performance/search-analytics?resource_id=sc-domain%3Aphwalls.com</x:v>
      </x:c>
    </x:row>
    <x:row r="51">
      <x:c r="A51" s="97" t="n">
        <x:v>46232</x:v>
      </x:c>
      <x:c r="B51" s="97" t="n">
        <x:v>46238</x:v>
      </x:c>
      <x:c r="C51" s="105" t="str">
        <x:v>https://phwalls.com/zh/wallpapers/oppo/oppo-k13</x:v>
      </x:c>
      <x:c r="D51" s="108"/>
      <x:c r="E51" s="105" t="str">
        <x:f>IF(D51="","待标注",IF(D51&gt;=A51,"新页面","旧页面"))</x:f>
        <x:v>待标注</x:v>
      </x:c>
      <x:c r="F51" s="101" t="n">
        <x:v>0</x:v>
      </x:c>
      <x:c r="G51" s="101" t="n">
        <x:v>1</x:v>
      </x:c>
      <x:c r="H51" s="102" t="n">
        <x:f>IFERROR(F51/G51,0)</x:f>
        <x:v>0</x:v>
      </x:c>
      <x:c r="I51" s="106" t="n">
        <x:v>4</x:v>
      </x:c>
      <x:c r="J51" s="105" t="str">
        <x:v>https://search.google.com/search-console/performance/search-analytics?resource_id=sc-domain%3Aphwalls.com</x:v>
      </x:c>
    </x:row>
    <x:row r="52">
      <x:c r="A52" s="97" t="n">
        <x:v>46232</x:v>
      </x:c>
      <x:c r="B52" s="97" t="n">
        <x:v>46238</x:v>
      </x:c>
      <x:c r="C52" s="105" t="str">
        <x:v>https://phwalls.com/zh/wallpapers/xiaomi/redmi-note-11t-pro</x:v>
      </x:c>
      <x:c r="D52" s="108"/>
      <x:c r="E52" s="105" t="str">
        <x:f>IF(D52="","待标注",IF(D52&gt;=A52,"新页面","旧页面"))</x:f>
        <x:v>待标注</x:v>
      </x:c>
      <x:c r="F52" s="101" t="n">
        <x:v>0</x:v>
      </x:c>
      <x:c r="G52" s="101" t="n">
        <x:v>1</x:v>
      </x:c>
      <x:c r="H52" s="102" t="n">
        <x:f>IFERROR(F52/G52,0)</x:f>
        <x:v>0</x:v>
      </x:c>
      <x:c r="I52" s="106" t="n">
        <x:v>4</x:v>
      </x:c>
      <x:c r="J52" s="105" t="str">
        <x:v>https://search.google.com/search-console/performance/search-analytics?resource_id=sc-domain%3Aphwalls.com</x:v>
      </x:c>
    </x:row>
    <x:row r="53">
      <x:c r="A53" s="97" t="n">
        <x:v>46232</x:v>
      </x:c>
      <x:c r="B53" s="97" t="n">
        <x:v>46238</x:v>
      </x:c>
      <x:c r="C53" s="105" t="str">
        <x:v>https://phwalls.com/zh/wallpapers/xiaomi/xiaomi-11t-pro</x:v>
      </x:c>
      <x:c r="D53" s="108"/>
      <x:c r="E53" s="105" t="str">
        <x:f>IF(D53="","待标注",IF(D53&gt;=A53,"新页面","旧页面"))</x:f>
        <x:v>待标注</x:v>
      </x:c>
      <x:c r="F53" s="101" t="n">
        <x:v>0</x:v>
      </x:c>
      <x:c r="G53" s="101" t="n">
        <x:v>1</x:v>
      </x:c>
      <x:c r="H53" s="102" t="n">
        <x:f>IFERROR(F53/G53,0)</x:f>
        <x:v>0</x:v>
      </x:c>
      <x:c r="I53" s="106" t="n">
        <x:v>4</x:v>
      </x:c>
      <x:c r="J53" s="105" t="str">
        <x:v>https://search.google.com/search-console/performance/search-analytics?resource_id=sc-domain%3Aphwalls.com</x:v>
      </x:c>
    </x:row>
    <x:row r="54">
      <x:c r="A54" s="97" t="n">
        <x:v>46232</x:v>
      </x:c>
      <x:c r="B54" s="97" t="n">
        <x:v>46238</x:v>
      </x:c>
      <x:c r="C54" s="105" t="str">
        <x:v>https://phwalls.com/en/wallpapers/oppo/oppo-find-x9-pro</x:v>
      </x:c>
      <x:c r="D54" s="108"/>
      <x:c r="E54" s="105" t="str">
        <x:f>IF(D54="","待标注",IF(D54&gt;=A54,"新页面","旧页面"))</x:f>
        <x:v>待标注</x:v>
      </x:c>
      <x:c r="F54" s="101" t="n">
        <x:v>0</x:v>
      </x:c>
      <x:c r="G54" s="101" t="n">
        <x:v>1</x:v>
      </x:c>
      <x:c r="H54" s="102" t="n">
        <x:f>IFERROR(F54/G54,0)</x:f>
        <x:v>0</x:v>
      </x:c>
      <x:c r="I54" s="106" t="n">
        <x:v>6</x:v>
      </x:c>
      <x:c r="J54" s="105" t="str">
        <x:v>https://search.google.com/search-console/performance/search-analytics?resource_id=sc-domain%3Aphwalls.com</x:v>
      </x:c>
    </x:row>
    <x:row r="55">
      <x:c r="A55" s="97" t="n">
        <x:v>46232</x:v>
      </x:c>
      <x:c r="B55" s="97" t="n">
        <x:v>46238</x:v>
      </x:c>
      <x:c r="C55" s="105" t="str">
        <x:v>https://phwalls.com/zh-hant/wallpapers/xiaomi/poco-f8-pro-and-ultra</x:v>
      </x:c>
      <x:c r="D55" s="108"/>
      <x:c r="E55" s="105" t="str">
        <x:f>IF(D55="","待标注",IF(D55&gt;=A55,"新页面","旧页面"))</x:f>
        <x:v>待标注</x:v>
      </x:c>
      <x:c r="F55" s="101" t="n">
        <x:v>0</x:v>
      </x:c>
      <x:c r="G55" s="101" t="n">
        <x:v>1</x:v>
      </x:c>
      <x:c r="H55" s="102" t="n">
        <x:f>IFERROR(F55/G55,0)</x:f>
        <x:v>0</x:v>
      </x:c>
      <x:c r="I55" s="106" t="n">
        <x:v>7</x:v>
      </x:c>
      <x:c r="J55" s="105" t="str">
        <x:v>https://search.google.com/search-console/performance/search-analytics?resource_id=sc-domain%3Aphwalls.com</x:v>
      </x:c>
    </x:row>
    <x:row r="56">
      <x:c r="A56" s="97" t="n">
        <x:v>46232</x:v>
      </x:c>
      <x:c r="B56" s="97" t="n">
        <x:v>46238</x:v>
      </x:c>
      <x:c r="C56" s="105" t="str">
        <x:v>https://phwalls.com/zh-hant/wallpapers/vivo/vivo-y50</x:v>
      </x:c>
      <x:c r="D56" s="108"/>
      <x:c r="E56" s="105" t="str">
        <x:f>IF(D56="","待标注",IF(D56&gt;=A56,"新页面","旧页面"))</x:f>
        <x:v>待标注</x:v>
      </x:c>
      <x:c r="F56" s="101" t="n">
        <x:v>0</x:v>
      </x:c>
      <x:c r="G56" s="101" t="n">
        <x:v>1</x:v>
      </x:c>
      <x:c r="H56" s="102" t="n">
        <x:f>IFERROR(F56/G56,0)</x:f>
        <x:v>0</x:v>
      </x:c>
      <x:c r="I56" s="106" t="n">
        <x:v>9</x:v>
      </x:c>
      <x:c r="J56" s="105" t="str">
        <x:v>https://search.google.com/search-console/performance/search-analytics?resource_id=sc-domain%3Aphwalls.com</x:v>
      </x:c>
    </x:row>
    <x:row r="57">
      <x:c r="A57" s="97" t="n">
        <x:v>46232</x:v>
      </x:c>
      <x:c r="B57" s="97" t="n">
        <x:v>46238</x:v>
      </x:c>
      <x:c r="C57" s="105" t="str">
        <x:v>https://phwalls.com/en/wallpapers/nothing/nothing-phone-4a</x:v>
      </x:c>
      <x:c r="D57" s="108"/>
      <x:c r="E57" s="105" t="str">
        <x:f>IF(D57="","待标注",IF(D57&gt;=A57,"新页面","旧页面"))</x:f>
        <x:v>待标注</x:v>
      </x:c>
      <x:c r="F57" s="101" t="n">
        <x:v>0</x:v>
      </x:c>
      <x:c r="G57" s="101" t="n">
        <x:v>1</x:v>
      </x:c>
      <x:c r="H57" s="102" t="n">
        <x:f>IFERROR(F57/G57,0)</x:f>
        <x:v>0</x:v>
      </x:c>
      <x:c r="I57" s="106" t="n">
        <x:v>10</x:v>
      </x:c>
      <x:c r="J57" s="105" t="str">
        <x:v>https://search.google.com/search-console/performance/search-analytics?resource_id=sc-domain%3Aphwalls.com</x:v>
      </x:c>
    </x:row>
    <x:row r="58">
      <x:c r="A58" s="97" t="n">
        <x:v>46232</x:v>
      </x:c>
      <x:c r="B58" s="97" t="n">
        <x:v>46238</x:v>
      </x:c>
      <x:c r="C58" s="105" t="str">
        <x:v>https://phwalls.com/ja/wallpapers/google-pixel/google-pixel-10-pro</x:v>
      </x:c>
      <x:c r="D58" s="108"/>
      <x:c r="E58" s="105" t="str">
        <x:f>IF(D58="","待标注",IF(D58&gt;=A58,"新页面","旧页面"))</x:f>
        <x:v>待标注</x:v>
      </x:c>
      <x:c r="F58" s="101" t="n">
        <x:v>0</x:v>
      </x:c>
      <x:c r="G58" s="101" t="n">
        <x:v>1</x:v>
      </x:c>
      <x:c r="H58" s="102" t="n">
        <x:f>IFERROR(F58/G58,0)</x:f>
        <x:v>0</x:v>
      </x:c>
      <x:c r="I58" s="106" t="n">
        <x:v>10</x:v>
      </x:c>
      <x:c r="J58" s="105" t="str">
        <x:v>https://search.google.com/search-console/performance/search-analytics?resource_id=sc-domain%3Aphwalls.com</x:v>
      </x:c>
    </x:row>
    <x:row r="59">
      <x:c r="A59" s="97" t="n">
        <x:v>46232</x:v>
      </x:c>
      <x:c r="B59" s="97" t="n">
        <x:v>46238</x:v>
      </x:c>
      <x:c r="C59" s="105" t="str">
        <x:v>https://phwalls.com/en/wallpapers/transsion-infinix/infinix-zero-ultra</x:v>
      </x:c>
      <x:c r="D59" s="108"/>
      <x:c r="E59" s="105" t="str">
        <x:f>IF(D59="","待标注",IF(D59&gt;=A59,"新页面","旧页面"))</x:f>
        <x:v>待标注</x:v>
      </x:c>
      <x:c r="F59" s="101" t="n">
        <x:v>0</x:v>
      </x:c>
      <x:c r="G59" s="101" t="n">
        <x:v>1</x:v>
      </x:c>
      <x:c r="H59" s="102" t="n">
        <x:f>IFERROR(F59/G59,0)</x:f>
        <x:v>0</x:v>
      </x:c>
      <x:c r="I59" s="106" t="n">
        <x:v>11</x:v>
      </x:c>
      <x:c r="J59" s="105" t="str">
        <x:v>https://search.google.com/search-console/performance/search-analytics?resource_id=sc-domain%3Aphwalls.com</x:v>
      </x:c>
    </x:row>
    <x:row r="60">
      <x:c r="A60" s="97" t="n">
        <x:v>46232</x:v>
      </x:c>
      <x:c r="B60" s="97" t="n">
        <x:v>46238</x:v>
      </x:c>
      <x:c r="C60" s="105" t="str">
        <x:v>https://phwalls.com/zh/wallpapers/android/android-16-baklava</x:v>
      </x:c>
      <x:c r="D60" s="108"/>
      <x:c r="E60" s="105" t="str">
        <x:f>IF(D60="","待标注",IF(D60&gt;=A60,"新页面","旧页面"))</x:f>
        <x:v>待标注</x:v>
      </x:c>
      <x:c r="F60" s="101" t="n">
        <x:v>0</x:v>
      </x:c>
      <x:c r="G60" s="101" t="n">
        <x:v>1</x:v>
      </x:c>
      <x:c r="H60" s="102" t="n">
        <x:f>IFERROR(F60/G60,0)</x:f>
        <x:v>0</x:v>
      </x:c>
      <x:c r="I60" s="106" t="n">
        <x:v>11</x:v>
      </x:c>
      <x:c r="J60" s="105" t="str">
        <x:v>https://search.google.com/search-console/performance/search-analytics?resource_id=sc-domain%3Aphwalls.com</x:v>
      </x:c>
    </x:row>
    <x:row r="61">
      <x:c r="A61" s="97" t="n">
        <x:v>46232</x:v>
      </x:c>
      <x:c r="B61" s="97" t="n">
        <x:v>46238</x:v>
      </x:c>
      <x:c r="C61" s="105" t="str">
        <x:v>https://phwalls.com/en/wallpapers/oppo/oppo-find-n6</x:v>
      </x:c>
      <x:c r="D61" s="108"/>
      <x:c r="E61" s="105" t="str">
        <x:f>IF(D61="","待标注",IF(D61&gt;=A61,"新页面","旧页面"))</x:f>
        <x:v>待标注</x:v>
      </x:c>
      <x:c r="F61" s="101" t="n">
        <x:v>0</x:v>
      </x:c>
      <x:c r="G61" s="101" t="n">
        <x:v>1</x:v>
      </x:c>
      <x:c r="H61" s="102" t="n">
        <x:f>IFERROR(F61/G61,0)</x:f>
        <x:v>0</x:v>
      </x:c>
      <x:c r="I61" s="106" t="n">
        <x:v>12</x:v>
      </x:c>
      <x:c r="J61" s="105" t="str">
        <x:v>https://search.google.com/search-console/performance/search-analytics?resource_id=sc-domain%3Aphwalls.com</x:v>
      </x:c>
    </x:row>
    <x:row r="62">
      <x:c r="A62" s="97" t="n">
        <x:v>46232</x:v>
      </x:c>
      <x:c r="B62" s="97" t="n">
        <x:v>46238</x:v>
      </x:c>
      <x:c r="C62" s="105" t="str">
        <x:v>https://phwalls.com/en/transsion-infinix</x:v>
      </x:c>
      <x:c r="D62" s="108"/>
      <x:c r="E62" s="105" t="str">
        <x:f>IF(D62="","待标注",IF(D62&gt;=A62,"新页面","旧页面"))</x:f>
        <x:v>待标注</x:v>
      </x:c>
      <x:c r="F62" s="101" t="n">
        <x:v>0</x:v>
      </x:c>
      <x:c r="G62" s="101" t="n">
        <x:v>1</x:v>
      </x:c>
      <x:c r="H62" s="102" t="n">
        <x:f>IFERROR(F62/G62,0)</x:f>
        <x:v>0</x:v>
      </x:c>
      <x:c r="I62" s="106" t="n">
        <x:v>14</x:v>
      </x:c>
      <x:c r="J62" s="105" t="str">
        <x:v>https://search.google.com/search-console/performance/search-analytics?resource_id=sc-domain%3Aphwalls.com</x:v>
      </x:c>
    </x:row>
    <x:row r="63">
      <x:c r="A63" s="97" t="n">
        <x:v>46232</x:v>
      </x:c>
      <x:c r="B63" s="97" t="n">
        <x:v>46238</x:v>
      </x:c>
      <x:c r="C63" s="105" t="str">
        <x:v>https://phwalls.com/zh/wallpapers/oneplus/oneplus-ace-6-ultra</x:v>
      </x:c>
      <x:c r="D63" s="108"/>
      <x:c r="E63" s="105" t="str">
        <x:f>IF(D63="","待标注",IF(D63&gt;=A63,"新页面","旧页面"))</x:f>
        <x:v>待标注</x:v>
      </x:c>
      <x:c r="F63" s="101" t="n">
        <x:v>0</x:v>
      </x:c>
      <x:c r="G63" s="101" t="n">
        <x:v>1</x:v>
      </x:c>
      <x:c r="H63" s="102" t="n">
        <x:f>IFERROR(F63/G63,0)</x:f>
        <x:v>0</x:v>
      </x:c>
      <x:c r="I63" s="106" t="n">
        <x:v>16</x:v>
      </x:c>
      <x:c r="J63" s="105" t="str">
        <x:v>https://search.google.com/search-console/performance/search-analytics?resource_id=sc-domain%3Aphwalls.com</x:v>
      </x:c>
    </x:row>
    <x:row r="64">
      <x:c r="A64" s="97" t="n">
        <x:v>46232</x:v>
      </x:c>
      <x:c r="B64" s="97" t="n">
        <x:v>46238</x:v>
      </x:c>
      <x:c r="C64" s="105" t="str">
        <x:v>https://phwalls.com/en/wallpapers/google-pixel/google-pixel-10-pro-xl</x:v>
      </x:c>
      <x:c r="D64" s="108"/>
      <x:c r="E64" s="105" t="str">
        <x:f>IF(D64="","待标注",IF(D64&gt;=A64,"新页面","旧页面"))</x:f>
        <x:v>待标注</x:v>
      </x:c>
      <x:c r="F64" s="101" t="n">
        <x:v>0</x:v>
      </x:c>
      <x:c r="G64" s="101" t="n">
        <x:v>1</x:v>
      </x:c>
      <x:c r="H64" s="102" t="n">
        <x:f>IFERROR(F64/G64,0)</x:f>
        <x:v>0</x:v>
      </x:c>
      <x:c r="I64" s="106" t="n">
        <x:v>19</x:v>
      </x:c>
      <x:c r="J64" s="105" t="str">
        <x:v>https://search.google.com/search-console/performance/search-analytics?resource_id=sc-domain%3Aphwalls.com</x:v>
      </x:c>
    </x:row>
    <x:row r="65">
      <x:c r="A65" s="97" t="n">
        <x:v>46232</x:v>
      </x:c>
      <x:c r="B65" s="97" t="n">
        <x:v>46238</x:v>
      </x:c>
      <x:c r="C65" s="105" t="str">
        <x:v>https://phwalls.com/zh-hant/desktop/wallpapers/ubuntu/ubuntu-26-04-lts-resolute-raccoon-mobile-phone</x:v>
      </x:c>
      <x:c r="D65" s="108"/>
      <x:c r="E65" s="105" t="str">
        <x:f>IF(D65="","待标注",IF(D65&gt;=A65,"新页面","旧页面"))</x:f>
        <x:v>待标注</x:v>
      </x:c>
      <x:c r="F65" s="101" t="n">
        <x:v>0</x:v>
      </x:c>
      <x:c r="G65" s="101" t="n">
        <x:v>1</x:v>
      </x:c>
      <x:c r="H65" s="102" t="n">
        <x:f>IFERROR(F65/G65,0)</x:f>
        <x:v>0</x:v>
      </x:c>
      <x:c r="I65" s="106" t="n">
        <x:v>21</x:v>
      </x:c>
      <x:c r="J65" s="105" t="str">
        <x:v>https://search.google.com/search-console/performance/search-analytics?resource_id=sc-domain%3Aphwalls.com</x:v>
      </x:c>
    </x:row>
    <x:row r="66">
      <x:c r="A66" s="97" t="n">
        <x:v>46232</x:v>
      </x:c>
      <x:c r="B66" s="97" t="n">
        <x:v>46238</x:v>
      </x:c>
      <x:c r="C66" s="105" t="str">
        <x:v>https://phwalls.com/zh/wallpapers/oppo/oppo-find-n3-flip</x:v>
      </x:c>
      <x:c r="D66" s="108"/>
      <x:c r="E66" s="105" t="str">
        <x:f>IF(D66="","待标注",IF(D66&gt;=A66,"新页面","旧页面"))</x:f>
        <x:v>待标注</x:v>
      </x:c>
      <x:c r="F66" s="101" t="n">
        <x:v>0</x:v>
      </x:c>
      <x:c r="G66" s="101" t="n">
        <x:v>1</x:v>
      </x:c>
      <x:c r="H66" s="102" t="n">
        <x:f>IFERROR(F66/G66,0)</x:f>
        <x:v>0</x:v>
      </x:c>
      <x:c r="I66" s="106" t="n">
        <x:v>21</x:v>
      </x:c>
      <x:c r="J66" s="105" t="str">
        <x:v>https://search.google.com/search-console/performance/search-analytics?resource_id=sc-domain%3Aphwalls.com</x:v>
      </x:c>
    </x:row>
    <x:row r="67">
      <x:c r="A67" s="97" t="n">
        <x:v>46232</x:v>
      </x:c>
      <x:c r="B67" s="97" t="n">
        <x:v>46238</x:v>
      </x:c>
      <x:c r="C67" s="105" t="str">
        <x:v>https://phwalls.com/ja/wallpapers/motorola/moto-edge-50-pro</x:v>
      </x:c>
      <x:c r="D67" s="108"/>
      <x:c r="E67" s="105" t="str">
        <x:f>IF(D67="","待标注",IF(D67&gt;=A67,"新页面","旧页面"))</x:f>
        <x:v>待标注</x:v>
      </x:c>
      <x:c r="F67" s="101" t="n">
        <x:v>0</x:v>
      </x:c>
      <x:c r="G67" s="101" t="n">
        <x:v>1</x:v>
      </x:c>
      <x:c r="H67" s="102" t="n">
        <x:f>IFERROR(F67/G67,0)</x:f>
        <x:v>0</x:v>
      </x:c>
      <x:c r="I67" s="106" t="n">
        <x:v>24</x:v>
      </x:c>
      <x:c r="J67" s="105" t="str">
        <x:v>https://search.google.com/search-console/performance/search-analytics?resource_id=sc-domain%3Aphwalls.com</x:v>
      </x:c>
    </x:row>
    <x:row r="68">
      <x:c r="A68" s="97" t="n">
        <x:v>46232</x:v>
      </x:c>
      <x:c r="B68" s="97" t="n">
        <x:v>46238</x:v>
      </x:c>
      <x:c r="C68" s="105" t="str">
        <x:v>https://phwalls.com/vi/wallpapers/oppo/oppo-reno-14-pro</x:v>
      </x:c>
      <x:c r="D68" s="108"/>
      <x:c r="E68" s="105" t="str">
        <x:f>IF(D68="","待标注",IF(D68&gt;=A68,"新页面","旧页面"))</x:f>
        <x:v>待标注</x:v>
      </x:c>
      <x:c r="F68" s="101" t="n">
        <x:v>0</x:v>
      </x:c>
      <x:c r="G68" s="101" t="n">
        <x:v>1</x:v>
      </x:c>
      <x:c r="H68" s="102" t="n">
        <x:f>IFERROR(F68/G68,0)</x:f>
        <x:v>0</x:v>
      </x:c>
      <x:c r="I68" s="106" t="n">
        <x:v>26</x:v>
      </x:c>
      <x:c r="J68" s="105" t="str">
        <x:v>https://search.google.com/search-console/performance/search-analytics?resource_id=sc-domain%3Aphwalls.com</x:v>
      </x:c>
    </x:row>
    <x:row r="69">
      <x:c r="A69" s="97" t="n">
        <x:v>46232</x:v>
      </x:c>
      <x:c r="B69" s="97" t="n">
        <x:v>46238</x:v>
      </x:c>
      <x:c r="C69" s="105" t="str">
        <x:v>https://phwalls.com/zh/wallpapers/motorola/moto-edge-40-neo</x:v>
      </x:c>
      <x:c r="D69" s="108"/>
      <x:c r="E69" s="105" t="str">
        <x:f>IF(D69="","待标注",IF(D69&gt;=A69,"新页面","旧页面"))</x:f>
        <x:v>待标注</x:v>
      </x:c>
      <x:c r="F69" s="101" t="n">
        <x:v>0</x:v>
      </x:c>
      <x:c r="G69" s="101" t="n">
        <x:v>1</x:v>
      </x:c>
      <x:c r="H69" s="102" t="n">
        <x:f>IFERROR(F69/G69,0)</x:f>
        <x:v>0</x:v>
      </x:c>
      <x:c r="I69" s="106" t="n">
        <x:v>27</x:v>
      </x:c>
      <x:c r="J69" s="105" t="str">
        <x:v>https://search.google.com/search-console/performance/search-analytics?resource_id=sc-domain%3Aphwalls.com</x:v>
      </x:c>
    </x:row>
    <x:row r="70">
      <x:c r="A70" s="97" t="n">
        <x:v>46232</x:v>
      </x:c>
      <x:c r="B70" s="97" t="n">
        <x:v>46238</x:v>
      </x:c>
      <x:c r="C70" s="105" t="str">
        <x:v>https://phwalls.com/zh/wallpapers/huawei/huawei-pura-x-max</x:v>
      </x:c>
      <x:c r="D70" s="108"/>
      <x:c r="E70" s="105" t="str">
        <x:f>IF(D70="","待标注",IF(D70&gt;=A70,"新页面","旧页面"))</x:f>
        <x:v>待标注</x:v>
      </x:c>
      <x:c r="F70" s="101" t="n">
        <x:v>0</x:v>
      </x:c>
      <x:c r="G70" s="101" t="n">
        <x:v>1</x:v>
      </x:c>
      <x:c r="H70" s="102" t="n">
        <x:f>IFERROR(F70/G70,0)</x:f>
        <x:v>0</x:v>
      </x:c>
      <x:c r="I70" s="106" t="n">
        <x:v>28</x:v>
      </x:c>
      <x:c r="J70" s="105" t="str">
        <x:v>https://search.google.com/search-console/performance/search-analytics?resource_id=sc-domain%3Aphwalls.com</x:v>
      </x:c>
    </x:row>
    <x:row r="71">
      <x:c r="A71" s="97" t="n">
        <x:v>46232</x:v>
      </x:c>
      <x:c r="B71" s="97" t="n">
        <x:v>46238</x:v>
      </x:c>
      <x:c r="C71" s="105" t="str">
        <x:v>https://phwalls.com/en/wallpapers/transsion-infinix/infinix-note-40-pro</x:v>
      </x:c>
      <x:c r="D71" s="108"/>
      <x:c r="E71" s="105" t="str">
        <x:f>IF(D71="","待标注",IF(D71&gt;=A71,"新页面","旧页面"))</x:f>
        <x:v>待标注</x:v>
      </x:c>
      <x:c r="F71" s="101" t="n">
        <x:v>0</x:v>
      </x:c>
      <x:c r="G71" s="101" t="n">
        <x:v>1</x:v>
      </x:c>
      <x:c r="H71" s="102" t="n">
        <x:f>IFERROR(F71/G71,0)</x:f>
        <x:v>0</x:v>
      </x:c>
      <x:c r="I71" s="106" t="n">
        <x:v>33</x:v>
      </x:c>
      <x:c r="J71" s="105" t="str">
        <x:v>https://search.google.com/search-console/performance/search-analytics?resource_id=sc-domain%3Aphwalls.com</x:v>
      </x:c>
    </x:row>
    <x:row r="72">
      <x:c r="A72" s="97" t="n">
        <x:v>46232</x:v>
      </x:c>
      <x:c r="B72" s="97" t="n">
        <x:v>46238</x:v>
      </x:c>
      <x:c r="C72" s="105" t="str">
        <x:v>https://phwalls.com/zh/oppo</x:v>
      </x:c>
      <x:c r="D72" s="108"/>
      <x:c r="E72" s="105" t="str">
        <x:f>IF(D72="","待标注",IF(D72&gt;=A72,"新页面","旧页面"))</x:f>
        <x:v>待标注</x:v>
      </x:c>
      <x:c r="F72" s="101" t="n">
        <x:v>0</x:v>
      </x:c>
      <x:c r="G72" s="101" t="n">
        <x:v>1</x:v>
      </x:c>
      <x:c r="H72" s="102" t="n">
        <x:f>IFERROR(F72/G72,0)</x:f>
        <x:v>0</x:v>
      </x:c>
      <x:c r="I72" s="106" t="n">
        <x:v>33</x:v>
      </x:c>
      <x:c r="J72" s="105" t="str">
        <x:v>https://search.google.com/search-console/performance/search-analytics?resource_id=sc-domain%3Aphwalls.com</x:v>
      </x:c>
    </x:row>
    <x:row r="73">
      <x:c r="A73" s="97" t="n">
        <x:v>46232</x:v>
      </x:c>
      <x:c r="B73" s="97" t="n">
        <x:v>46238</x:v>
      </x:c>
      <x:c r="C73" s="105" t="str">
        <x:v>https://phwalls.com/zh/wallpapers/motorola/moto-g34</x:v>
      </x:c>
      <x:c r="D73" s="108"/>
      <x:c r="E73" s="105" t="str">
        <x:f>IF(D73="","待标注",IF(D73&gt;=A73,"新页面","旧页面"))</x:f>
        <x:v>待标注</x:v>
      </x:c>
      <x:c r="F73" s="101" t="n">
        <x:v>0</x:v>
      </x:c>
      <x:c r="G73" s="101" t="n">
        <x:v>1</x:v>
      </x:c>
      <x:c r="H73" s="102" t="n">
        <x:f>IFERROR(F73/G73,0)</x:f>
        <x:v>0</x:v>
      </x:c>
      <x:c r="I73" s="106" t="n">
        <x:v>33</x:v>
      </x:c>
      <x:c r="J73" s="105" t="str">
        <x:v>https://search.google.com/search-console/performance/search-analytics?resource_id=sc-domain%3Aphwalls.com</x:v>
      </x:c>
    </x:row>
    <x:row r="74">
      <x:c r="A74" s="97" t="n">
        <x:v>46232</x:v>
      </x:c>
      <x:c r="B74" s="97" t="n">
        <x:v>46238</x:v>
      </x:c>
      <x:c r="C74" s="105" t="str">
        <x:v>https://phwalls.com/en/wallpapers/samsung/samsung-galaxy-m13-5g</x:v>
      </x:c>
      <x:c r="D74" s="108"/>
      <x:c r="E74" s="105" t="str">
        <x:f>IF(D74="","待标注",IF(D74&gt;=A74,"新页面","旧页面"))</x:f>
        <x:v>待标注</x:v>
      </x:c>
      <x:c r="F74" s="101" t="n">
        <x:v>0</x:v>
      </x:c>
      <x:c r="G74" s="101" t="n">
        <x:v>1</x:v>
      </x:c>
      <x:c r="H74" s="102" t="n">
        <x:f>IFERROR(F74/G74,0)</x:f>
        <x:v>0</x:v>
      </x:c>
      <x:c r="I74" s="106" t="n">
        <x:v>34</x:v>
      </x:c>
      <x:c r="J74" s="105" t="str">
        <x:v>https://search.google.com/search-console/performance/search-analytics?resource_id=sc-domain%3Aphwalls.com</x:v>
      </x:c>
    </x:row>
    <x:row r="75">
      <x:c r="A75" s="97" t="n">
        <x:v>46232</x:v>
      </x:c>
      <x:c r="B75" s="97" t="n">
        <x:v>46238</x:v>
      </x:c>
      <x:c r="C75" s="105" t="str">
        <x:v>https://phwalls.com/en/wallpapers/transsion-infinix/infinix-hot-50-lte</x:v>
      </x:c>
      <x:c r="D75" s="108"/>
      <x:c r="E75" s="105" t="str">
        <x:f>IF(D75="","待标注",IF(D75&gt;=A75,"新页面","旧页面"))</x:f>
        <x:v>待标注</x:v>
      </x:c>
      <x:c r="F75" s="101" t="n">
        <x:v>0</x:v>
      </x:c>
      <x:c r="G75" s="101" t="n">
        <x:v>1</x:v>
      </x:c>
      <x:c r="H75" s="102" t="n">
        <x:f>IFERROR(F75/G75,0)</x:f>
        <x:v>0</x:v>
      </x:c>
      <x:c r="I75" s="106" t="n">
        <x:v>34</x:v>
      </x:c>
      <x:c r="J75" s="105" t="str">
        <x:v>https://search.google.com/search-console/performance/search-analytics?resource_id=sc-domain%3Aphwalls.com</x:v>
      </x:c>
    </x:row>
    <x:row r="76">
      <x:c r="A76" s="97" t="n">
        <x:v>46232</x:v>
      </x:c>
      <x:c r="B76" s="97" t="n">
        <x:v>46238</x:v>
      </x:c>
      <x:c r="C76" s="105" t="str">
        <x:v>https://phwalls.com/en/wallpapers/samsung/samsung-galaxy-a26</x:v>
      </x:c>
      <x:c r="D76" s="108"/>
      <x:c r="E76" s="105" t="str">
        <x:f>IF(D76="","待标注",IF(D76&gt;=A76,"新页面","旧页面"))</x:f>
        <x:v>待标注</x:v>
      </x:c>
      <x:c r="F76" s="101" t="n">
        <x:v>0</x:v>
      </x:c>
      <x:c r="G76" s="101" t="n">
        <x:v>1</x:v>
      </x:c>
      <x:c r="H76" s="102" t="n">
        <x:f>IFERROR(F76/G76,0)</x:f>
        <x:v>0</x:v>
      </x:c>
      <x:c r="I76" s="106" t="n">
        <x:v>35</x:v>
      </x:c>
      <x:c r="J76" s="105" t="str">
        <x:v>https://search.google.com/search-console/performance/search-analytics?resource_id=sc-domain%3Aphwalls.com</x:v>
      </x:c>
    </x:row>
    <x:row r="77">
      <x:c r="A77" s="97" t="n">
        <x:v>46232</x:v>
      </x:c>
      <x:c r="B77" s="97" t="n">
        <x:v>46238</x:v>
      </x:c>
      <x:c r="C77" s="105" t="str">
        <x:v>https://phwalls.com/zh/wallpapers/xiaomi/redmi-note-9-pro-5g</x:v>
      </x:c>
      <x:c r="D77" s="108"/>
      <x:c r="E77" s="105" t="str">
        <x:f>IF(D77="","待标注",IF(D77&gt;=A77,"新页面","旧页面"))</x:f>
        <x:v>待标注</x:v>
      </x:c>
      <x:c r="F77" s="101" t="n">
        <x:v>0</x:v>
      </x:c>
      <x:c r="G77" s="101" t="n">
        <x:v>1</x:v>
      </x:c>
      <x:c r="H77" s="102" t="n">
        <x:f>IFERROR(F77/G77,0)</x:f>
        <x:v>0</x:v>
      </x:c>
      <x:c r="I77" s="106" t="n">
        <x:v>35</x:v>
      </x:c>
      <x:c r="J77" s="105" t="str">
        <x:v>https://search.google.com/search-console/performance/search-analytics?resource_id=sc-domain%3Aphwalls.com</x:v>
      </x:c>
    </x:row>
    <x:row r="78">
      <x:c r="A78" s="97" t="n">
        <x:v>46232</x:v>
      </x:c>
      <x:c r="B78" s="97" t="n">
        <x:v>46238</x:v>
      </x:c>
      <x:c r="C78" s="105" t="str">
        <x:v>https://phwalls.com/en/wallpapers/oppo/oppo-find-x8-ultra</x:v>
      </x:c>
      <x:c r="D78" s="108"/>
      <x:c r="E78" s="105" t="str">
        <x:f>IF(D78="","待标注",IF(D78&gt;=A78,"新页面","旧页面"))</x:f>
        <x:v>待标注</x:v>
      </x:c>
      <x:c r="F78" s="101" t="n">
        <x:v>0</x:v>
      </x:c>
      <x:c r="G78" s="101" t="n">
        <x:v>1</x:v>
      </x:c>
      <x:c r="H78" s="102" t="n">
        <x:f>IFERROR(F78/G78,0)</x:f>
        <x:v>0</x:v>
      </x:c>
      <x:c r="I78" s="106" t="n">
        <x:v>36</x:v>
      </x:c>
      <x:c r="J78" s="105" t="str">
        <x:v>https://search.google.com/search-console/performance/search-analytics?resource_id=sc-domain%3Aphwalls.com</x:v>
      </x:c>
    </x:row>
    <x:row r="79">
      <x:c r="A79" s="97" t="n">
        <x:v>46232</x:v>
      </x:c>
      <x:c r="B79" s="97" t="n">
        <x:v>46238</x:v>
      </x:c>
      <x:c r="C79" s="105" t="str">
        <x:v>https://phwalls.com/en/wallpapers/honor/honor-magic-7-pro</x:v>
      </x:c>
      <x:c r="D79" s="108"/>
      <x:c r="E79" s="105" t="str">
        <x:f>IF(D79="","待标注",IF(D79&gt;=A79,"新页面","旧页面"))</x:f>
        <x:v>待标注</x:v>
      </x:c>
      <x:c r="F79" s="101" t="n">
        <x:v>0</x:v>
      </x:c>
      <x:c r="G79" s="101" t="n">
        <x:v>1</x:v>
      </x:c>
      <x:c r="H79" s="102" t="n">
        <x:f>IFERROR(F79/G79,0)</x:f>
        <x:v>0</x:v>
      </x:c>
      <x:c r="I79" s="106" t="n">
        <x:v>38</x:v>
      </x:c>
      <x:c r="J79" s="105" t="str">
        <x:v>https://search.google.com/search-console/performance/search-analytics?resource_id=sc-domain%3Aphwalls.com</x:v>
      </x:c>
    </x:row>
    <x:row r="80">
      <x:c r="A80" s="97" t="n">
        <x:v>46232</x:v>
      </x:c>
      <x:c r="B80" s="97" t="n">
        <x:v>46238</x:v>
      </x:c>
      <x:c r="C80" s="105" t="str">
        <x:v>https://phwalls.com/en/wallpapers/google-pixel/google-pixel-8</x:v>
      </x:c>
      <x:c r="D80" s="108"/>
      <x:c r="E80" s="105" t="str">
        <x:f>IF(D80="","待标注",IF(D80&gt;=A80,"新页面","旧页面"))</x:f>
        <x:v>待标注</x:v>
      </x:c>
      <x:c r="F80" s="101" t="n">
        <x:v>0</x:v>
      </x:c>
      <x:c r="G80" s="101" t="n">
        <x:v>1</x:v>
      </x:c>
      <x:c r="H80" s="102" t="n">
        <x:f>IFERROR(F80/G80,0)</x:f>
        <x:v>0</x:v>
      </x:c>
      <x:c r="I80" s="106" t="n">
        <x:v>41</x:v>
      </x:c>
      <x:c r="J80" s="105" t="str">
        <x:v>https://search.google.com/search-console/performance/search-analytics?resource_id=sc-domain%3Aphwalls.com</x:v>
      </x:c>
    </x:row>
    <x:row r="81">
      <x:c r="A81" s="97" t="n">
        <x:v>46232</x:v>
      </x:c>
      <x:c r="B81" s="97" t="n">
        <x:v>46238</x:v>
      </x:c>
      <x:c r="C81" s="105" t="str">
        <x:v>https://phwalls.com/zh/wallpapers/google-pixel/google-pixel-8a</x:v>
      </x:c>
      <x:c r="D81" s="108"/>
      <x:c r="E81" s="105" t="str">
        <x:f>IF(D81="","待标注",IF(D81&gt;=A81,"新页面","旧页面"))</x:f>
        <x:v>待标注</x:v>
      </x:c>
      <x:c r="F81" s="101" t="n">
        <x:v>0</x:v>
      </x:c>
      <x:c r="G81" s="101" t="n">
        <x:v>1</x:v>
      </x:c>
      <x:c r="H81" s="102" t="n">
        <x:f>IFERROR(F81/G81,0)</x:f>
        <x:v>0</x:v>
      </x:c>
      <x:c r="I81" s="106" t="n">
        <x:v>46</x:v>
      </x:c>
      <x:c r="J81" s="105" t="str">
        <x:v>https://search.google.com/search-console/performance/search-analytics?resource_id=sc-domain%3Aphwalls.com</x:v>
      </x:c>
    </x:row>
    <x:row r="82">
      <x:c r="A82" s="97" t="n">
        <x:v>46232</x:v>
      </x:c>
      <x:c r="B82" s="97" t="n">
        <x:v>46238</x:v>
      </x:c>
      <x:c r="C82" s="105" t="str">
        <x:v>https://phwalls.com/zh/wallpapers/samsung/samsung-galaxy-a35</x:v>
      </x:c>
      <x:c r="D82" s="108"/>
      <x:c r="E82" s="105" t="str">
        <x:f>IF(D82="","待标注",IF(D82&gt;=A82,"新页面","旧页面"))</x:f>
        <x:v>待标注</x:v>
      </x:c>
      <x:c r="F82" s="101" t="n">
        <x:v>0</x:v>
      </x:c>
      <x:c r="G82" s="101" t="n">
        <x:v>1</x:v>
      </x:c>
      <x:c r="H82" s="102" t="n">
        <x:f>IFERROR(F82/G82,0)</x:f>
        <x:v>0</x:v>
      </x:c>
      <x:c r="I82" s="106" t="n">
        <x:v>46</x:v>
      </x:c>
      <x:c r="J82" s="105" t="str">
        <x:v>https://search.google.com/search-console/performance/search-analytics?resource_id=sc-domain%3Aphwalls.com</x:v>
      </x:c>
    </x:row>
    <x:row r="83">
      <x:c r="A83" s="97" t="n">
        <x:v>46232</x:v>
      </x:c>
      <x:c r="B83" s="97" t="n">
        <x:v>46238</x:v>
      </x:c>
      <x:c r="C83" s="105" t="str">
        <x:v>https://phwalls.com/zh/wallpapers/samsung/samsung-galaxy-s20</x:v>
      </x:c>
      <x:c r="D83" s="108"/>
      <x:c r="E83" s="105" t="str">
        <x:f>IF(D83="","待标注",IF(D83&gt;=A83,"新页面","旧页面"))</x:f>
        <x:v>待标注</x:v>
      </x:c>
      <x:c r="F83" s="101" t="n">
        <x:v>0</x:v>
      </x:c>
      <x:c r="G83" s="101" t="n">
        <x:v>1</x:v>
      </x:c>
      <x:c r="H83" s="102" t="n">
        <x:f>IFERROR(F83/G83,0)</x:f>
        <x:v>0</x:v>
      </x:c>
      <x:c r="I83" s="106" t="n">
        <x:v>46</x:v>
      </x:c>
      <x:c r="J83" s="105" t="str">
        <x:v>https://search.google.com/search-console/performance/search-analytics?resource_id=sc-domain%3Aphwalls.com</x:v>
      </x:c>
    </x:row>
    <x:row r="84">
      <x:c r="A84" s="97" t="n">
        <x:v>46232</x:v>
      </x:c>
      <x:c r="B84" s="97" t="n">
        <x:v>46238</x:v>
      </x:c>
      <x:c r="C84" s="105" t="str">
        <x:v>https://phwalls.com/zh/wallpapers/samsung/samsung-galaxy-s23-fe</x:v>
      </x:c>
      <x:c r="D84" s="108"/>
      <x:c r="E84" s="105" t="str">
        <x:f>IF(D84="","待标注",IF(D84&gt;=A84,"新页面","旧页面"))</x:f>
        <x:v>待标注</x:v>
      </x:c>
      <x:c r="F84" s="101" t="n">
        <x:v>0</x:v>
      </x:c>
      <x:c r="G84" s="101" t="n">
        <x:v>1</x:v>
      </x:c>
      <x:c r="H84" s="102" t="n">
        <x:f>IFERROR(F84/G84,0)</x:f>
        <x:v>0</x:v>
      </x:c>
      <x:c r="I84" s="106" t="n">
        <x:v>46</x:v>
      </x:c>
      <x:c r="J84" s="105" t="str">
        <x:v>https://search.google.com/search-console/performance/search-analytics?resource_id=sc-domain%3Aphwalls.com</x:v>
      </x:c>
    </x:row>
    <x:row r="85">
      <x:c r="A85" s="97" t="n">
        <x:v>46232</x:v>
      </x:c>
      <x:c r="B85" s="97" t="n">
        <x:v>46238</x:v>
      </x:c>
      <x:c r="C85" s="105" t="str">
        <x:v>https://phwalls.com/en/wallpapers/nothing/nothing-phone-2a</x:v>
      </x:c>
      <x:c r="D85" s="108"/>
      <x:c r="E85" s="105" t="str">
        <x:f>IF(D85="","待标注",IF(D85&gt;=A85,"新页面","旧页面"))</x:f>
        <x:v>待标注</x:v>
      </x:c>
      <x:c r="F85" s="101" t="n">
        <x:v>0</x:v>
      </x:c>
      <x:c r="G85" s="101" t="n">
        <x:v>1</x:v>
      </x:c>
      <x:c r="H85" s="102" t="n">
        <x:f>IFERROR(F85/G85,0)</x:f>
        <x:v>0</x:v>
      </x:c>
      <x:c r="I85" s="106" t="n">
        <x:v>47</x:v>
      </x:c>
      <x:c r="J85" s="105" t="str">
        <x:v>https://search.google.com/search-console/performance/search-analytics?resource_id=sc-domain%3Aphwalls.com</x:v>
      </x:c>
    </x:row>
    <x:row r="86">
      <x:c r="A86" s="97" t="n">
        <x:v>46232</x:v>
      </x:c>
      <x:c r="B86" s="97" t="n">
        <x:v>46238</x:v>
      </x:c>
      <x:c r="C86" s="105" t="str">
        <x:v>https://phwalls.com/zh/wallpapers/samsung/samsung-galaxy-a71</x:v>
      </x:c>
      <x:c r="D86" s="108"/>
      <x:c r="E86" s="105" t="str">
        <x:f>IF(D86="","待标注",IF(D86&gt;=A86,"新页面","旧页面"))</x:f>
        <x:v>待标注</x:v>
      </x:c>
      <x:c r="F86" s="101" t="n">
        <x:v>0</x:v>
      </x:c>
      <x:c r="G86" s="101" t="n">
        <x:v>1</x:v>
      </x:c>
      <x:c r="H86" s="102" t="n">
        <x:f>IFERROR(F86/G86,0)</x:f>
        <x:v>0</x:v>
      </x:c>
      <x:c r="I86" s="106" t="n">
        <x:v>47</x:v>
      </x:c>
      <x:c r="J86" s="105" t="str">
        <x:v>https://search.google.com/search-console/performance/search-analytics?resource_id=sc-domain%3Aphwalls.com</x:v>
      </x:c>
    </x:row>
    <x:row r="87">
      <x:c r="A87" s="97" t="n">
        <x:v>46232</x:v>
      </x:c>
      <x:c r="B87" s="97" t="n">
        <x:v>46238</x:v>
      </x:c>
      <x:c r="C87" s="105" t="str">
        <x:v>https://phwalls.com/zh/wallpapers/motorola/moto-edge-50-ultra-and-edge-50-fusion</x:v>
      </x:c>
      <x:c r="D87" s="108"/>
      <x:c r="E87" s="105" t="str">
        <x:f>IF(D87="","待标注",IF(D87&gt;=A87,"新页面","旧页面"))</x:f>
        <x:v>待标注</x:v>
      </x:c>
      <x:c r="F87" s="101" t="n">
        <x:v>0</x:v>
      </x:c>
      <x:c r="G87" s="101" t="n">
        <x:v>1</x:v>
      </x:c>
      <x:c r="H87" s="102" t="n">
        <x:f>IFERROR(F87/G87,0)</x:f>
        <x:v>0</x:v>
      </x:c>
      <x:c r="I87" s="106" t="n">
        <x:v>48</x:v>
      </x:c>
      <x:c r="J87" s="105" t="str">
        <x:v>https://search.google.com/search-console/performance/search-analytics?resource_id=sc-domain%3Aphwalls.com</x:v>
      </x:c>
    </x:row>
    <x:row r="88">
      <x:c r="A88" s="97" t="n">
        <x:v>46232</x:v>
      </x:c>
      <x:c r="B88" s="97" t="n">
        <x:v>46238</x:v>
      </x:c>
      <x:c r="C88" s="105" t="str">
        <x:v>https://phwalls.com/zh-hant/wallpapers/xiaomi/redmi-note-13-pro-plus</x:v>
      </x:c>
      <x:c r="D88" s="108"/>
      <x:c r="E88" s="105" t="str">
        <x:f>IF(D88="","待标注",IF(D88&gt;=A88,"新页面","旧页面"))</x:f>
        <x:v>待标注</x:v>
      </x:c>
      <x:c r="F88" s="101" t="n">
        <x:v>0</x:v>
      </x:c>
      <x:c r="G88" s="101" t="n">
        <x:v>1</x:v>
      </x:c>
      <x:c r="H88" s="102" t="n">
        <x:f>IFERROR(F88/G88,0)</x:f>
        <x:v>0</x:v>
      </x:c>
      <x:c r="I88" s="106" t="n">
        <x:v>50</x:v>
      </x:c>
      <x:c r="J88" s="105" t="str">
        <x:v>https://search.google.com/search-console/performance/search-analytics?resource_id=sc-domain%3Aphwalls.com</x:v>
      </x:c>
    </x:row>
    <x:row r="89">
      <x:c r="A89" s="97" t="n">
        <x:v>46232</x:v>
      </x:c>
      <x:c r="B89" s="97" t="n">
        <x:v>46238</x:v>
      </x:c>
      <x:c r="C89" s="105" t="str">
        <x:v>https://phwalls.com/zh/wallpapers/samsung/samsung-galaxy-a16</x:v>
      </x:c>
      <x:c r="D89" s="108"/>
      <x:c r="E89" s="105" t="str">
        <x:f>IF(D89="","待标注",IF(D89&gt;=A89,"新页面","旧页面"))</x:f>
        <x:v>待标注</x:v>
      </x:c>
      <x:c r="F89" s="101" t="n">
        <x:v>0</x:v>
      </x:c>
      <x:c r="G89" s="101" t="n">
        <x:v>1</x:v>
      </x:c>
      <x:c r="H89" s="102" t="n">
        <x:f>IFERROR(F89/G89,0)</x:f>
        <x:v>0</x:v>
      </x:c>
      <x:c r="I89" s="106" t="n">
        <x:v>63</x:v>
      </x:c>
      <x:c r="J89" s="105" t="str">
        <x:v>https://search.google.com/search-console/performance/search-analytics?resource_id=sc-domain%3Aphwalls.com</x:v>
      </x:c>
    </x:row>
    <x:row r="90">
      <x:c r="A90" s="97" t="n">
        <x:v>46232</x:v>
      </x:c>
      <x:c r="B90" s="97" t="n">
        <x:v>46238</x:v>
      </x:c>
      <x:c r="C90" s="105" t="str">
        <x:v>https://phwalls.com/zh/wallpapers/oppo/oppo-k3</x:v>
      </x:c>
      <x:c r="D90" s="108"/>
      <x:c r="E90" s="105" t="str">
        <x:f>IF(D90="","待标注",IF(D90&gt;=A90,"新页面","旧页面"))</x:f>
        <x:v>待标注</x:v>
      </x:c>
      <x:c r="F90" s="101" t="n">
        <x:v>0</x:v>
      </x:c>
      <x:c r="G90" s="101" t="n">
        <x:v>1</x:v>
      </x:c>
      <x:c r="H90" s="102" t="n">
        <x:f>IFERROR(F90/G90,0)</x:f>
        <x:v>0</x:v>
      </x:c>
      <x:c r="I90" s="106" t="n">
        <x:v>71</x:v>
      </x:c>
      <x:c r="J90" s="105" t="str">
        <x:v>https://search.google.com/search-console/performance/search-analytics?resource_id=sc-domain%3Aphwalls.com</x:v>
      </x:c>
    </x:row>
    <x:row r="91">
      <x:c r="A91" s="97" t="n">
        <x:v>46232</x:v>
      </x:c>
      <x:c r="B91" s="97" t="n">
        <x:v>46238</x:v>
      </x:c>
      <x:c r="C91" s="105" t="str">
        <x:v>https://phwalls.com/zh-hant/desktop/wallpapers/microsoft-windows/windows-xp</x:v>
      </x:c>
      <x:c r="D91" s="108"/>
      <x:c r="E91" s="105" t="str">
        <x:f>IF(D91="","待标注",IF(D91&gt;=A91,"新页面","旧页面"))</x:f>
        <x:v>待标注</x:v>
      </x:c>
      <x:c r="F91" s="101" t="n">
        <x:v>0</x:v>
      </x:c>
      <x:c r="G91" s="101" t="n">
        <x:v>1</x:v>
      </x:c>
      <x:c r="H91" s="102" t="n">
        <x:f>IFERROR(F91/G91,0)</x:f>
        <x:v>0</x:v>
      </x:c>
      <x:c r="I91" s="106" t="n">
        <x:v>84</x:v>
      </x:c>
      <x:c r="J91" s="105" t="str">
        <x:v>https://search.google.com/search-console/performance/search-analytics?resource_id=sc-domain%3Aphwalls.com</x:v>
      </x:c>
    </x:row>
    <x:row r="92">
      <x:c r="A92" s="97" t="n">
        <x:v>46232</x:v>
      </x:c>
      <x:c r="B92" s="97" t="n">
        <x:v>46238</x:v>
      </x:c>
      <x:c r="C92" s="105" t="str">
        <x:v>https://phwalls.com/zh/wallpapers/honor/honor-win</x:v>
      </x:c>
      <x:c r="D92" s="108"/>
      <x:c r="E92" s="105" t="str">
        <x:f>IF(D92="","待标注",IF(D92&gt;=A92,"新页面","旧页面"))</x:f>
        <x:v>待标注</x:v>
      </x:c>
      <x:c r="F92" s="101" t="n">
        <x:v>0</x:v>
      </x:c>
      <x:c r="G92" s="101" t="n">
        <x:v>1</x:v>
      </x:c>
      <x:c r="H92" s="102" t="n">
        <x:f>IFERROR(F92/G92,0)</x:f>
        <x:v>0</x:v>
      </x:c>
      <x:c r="I92" s="106" t="n">
        <x:v>148</x:v>
      </x:c>
      <x:c r="J92" s="105" t="str">
        <x:v>https://search.google.com/search-console/performance/search-analytics?resource_id=sc-domain%3Aphwalls.com</x:v>
      </x:c>
    </x:row>
  </x:sheetData>
  <x:mergeCells>
    <x:mergeCell ref="A1:J1"/>
    <x:mergeCell ref="A2:J2"/>
  </x:mergeCells>
  <x:conditionalFormatting sqref="E5:E92">
    <x:cfRule type="containsText" dxfId="1" priority="1" operator="containsText" text="待标注"/>
  </x:conditionalFormatting>
  <x:pageMargins left="0.7" right="0.7" top="0.75" bottom="0.75" header="0.3" footer="0.3"/>
  <x:tableParts count="1">
    <x:tablePart xmlns:r="http://schemas.openxmlformats.org/officeDocument/2006/relationships" r:id="R0c04573306ae4c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6" hidden="0" customWidth="1"/>
    <x:col min="4" max="4" width="28" hidden="0" customWidth="1"/>
  </x:cols>
  <x:sheetData>
    <x:row r="1" ht="34" customHeight="1">
      <x:c r="A1" s="76" t="str">
        <x:v>品牌词识别规则</x:v>
      </x:c>
      <x:c r="B1" s="76" t="str">
        <x:v>品牌词识别规则</x:v>
      </x:c>
      <x:c r="C1" s="76" t="str">
        <x:v>品牌词识别规则</x:v>
      </x:c>
      <x:c r="D1" s="76" t="str">
        <x:v>品牌词识别规则</x:v>
      </x:c>
    </x:row>
    <x:row r="2">
      <x:c r="A2" s="87" t="str">
        <x:v>查询命中任一关键词即归为品牌词。添加规则后，请同步扩展“查询数据”分类公式引用范围。</x:v>
      </x:c>
      <x:c r="B2" s="87" t="str">
        <x:v>查询命中任一关键词即归为品牌词。添加规则后，请同步扩展“查询数据”分类公式引用范围。</x:v>
      </x:c>
      <x:c r="C2" s="87" t="str">
        <x:v>查询命中任一关键词即归为品牌词。添加规则后，请同步扩展“查询数据”分类公式引用范围。</x:v>
      </x:c>
      <x:c r="D2" s="87" t="str">
        <x:v>查询命中任一关键词即归为品牌词。添加规则后，请同步扩展“查询数据”分类公式引用范围。</x:v>
      </x:c>
    </x:row>
    <x:row r="3" ht="28" customHeight="1">
      <x:c r="A3" s="89" t="str">
        <x:v>关键词</x:v>
      </x:c>
      <x:c r="B3" s="90" t="str">
        <x:v>是否启用</x:v>
      </x:c>
      <x:c r="C3" s="90" t="str">
        <x:v>用途</x:v>
      </x:c>
      <x:c r="D3" s="91" t="str">
        <x:v>备注</x:v>
      </x:c>
    </x:row>
    <x:row r="4">
      <x:c r="A4" s="109" t="str">
        <x:v>phwalls</x:v>
      </x:c>
      <x:c r="B4" s="109" t="str">
        <x:v>是</x:v>
      </x:c>
      <x:c r="C4" s="104" t="str">
        <x:v>品牌词</x:v>
      </x:c>
      <x:c r="D4" s="104" t="str">
        <x:v>紧凑拼写</x:v>
      </x:c>
    </x:row>
    <x:row r="5">
      <x:c r="A5" s="110" t="str">
        <x:v>ph walls</x:v>
      </x:c>
      <x:c r="B5" s="110" t="str">
        <x:v>是</x:v>
      </x:c>
      <x:c r="C5" s="105" t="str">
        <x:v>品牌词</x:v>
      </x:c>
      <x:c r="D5" s="105" t="str">
        <x:v>空格拼写</x:v>
      </x:c>
    </x:row>
  </x:sheetData>
  <x:mergeCells>
    <x:mergeCell ref="A1:D1"/>
    <x:mergeCell ref="A2:D2"/>
  </x:mergeCells>
  <x:dataValidations count="1">
    <x:dataValidation type="list" sqref="B4:B2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f1f07720a4e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15" hidden="0" customWidth="1"/>
    <x:col min="8" max="8" width="15" hidden="0" customWidth="1"/>
    <x:col min="9" max="9" width="15" hidden="0" customWidth="1"/>
    <x:col min="10" max="10" width="50" hidden="0" customWidth="1"/>
  </x:cols>
  <x:sheetData>
    <x:row r="1" ht="34" customHeight="1">
      <x:c r="A1" s="76" t="str">
        <x:v>GSC 5xx 示例跟踪</x:v>
      </x:c>
      <x:c r="B1" s="76" t="str">
        <x:v>GSC 5xx 示例跟踪</x:v>
      </x:c>
      <x:c r="C1" s="76" t="str">
        <x:v>GSC 5xx 示例跟踪</x:v>
      </x:c>
      <x:c r="D1" s="76" t="str">
        <x:v>GSC 5xx 示例跟踪</x:v>
      </x:c>
      <x:c r="E1" s="76" t="str">
        <x:v>GSC 5xx 示例跟踪</x:v>
      </x:c>
      <x:c r="F1" s="76" t="str">
        <x:v>GSC 5xx 示例跟踪</x:v>
      </x:c>
      <x:c r="G1" s="76" t="str">
        <x:v>GSC 5xx 示例跟踪</x:v>
      </x:c>
      <x:c r="H1" s="76" t="str">
        <x:v>GSC 5xx 示例跟踪</x:v>
      </x:c>
      <x:c r="I1" s="76" t="str">
        <x:v>GSC 5xx 示例跟踪</x:v>
      </x:c>
      <x:c r="J1" s="76" t="str">
        <x:v>GSC 5xx 示例跟踪</x:v>
      </x:c>
    </x:row>
    <x:row r="2">
      <x:c r="A2" s="87" t="str">
        <x:v>2026-08-06 批量核验：78 个直接返回 200；历史异常 URL /&amp; 仍在生产环境最终返回 500，本次代码已做最小修复，需部署后复测并等待 GSC 验证通过。</x:v>
      </x:c>
      <x:c r="B2" s="87" t="str">
        <x:v>2026-08-06 批量核验：78 个直接返回 200；历史异常 URL /&amp; 仍在生产环境最终返回 500，本次代码已做最小修复，需部署后复测并等待 GSC 验证通过。</x:v>
      </x:c>
      <x:c r="C2" s="87" t="str">
        <x:v>2026-08-06 批量核验：78 个直接返回 200；历史异常 URL /&amp; 仍在生产环境最终返回 500，本次代码已做最小修复，需部署后复测并等待 GSC 验证通过。</x:v>
      </x:c>
      <x:c r="D2" s="87" t="str">
        <x:v>2026-08-06 批量核验：78 个直接返回 200；历史异常 URL /&amp; 仍在生产环境最终返回 500，本次代码已做最小修复，需部署后复测并等待 GSC 验证通过。</x:v>
      </x:c>
      <x:c r="E2" s="87" t="str">
        <x:v>2026-08-06 批量核验：78 个直接返回 200；历史异常 URL /&amp; 仍在生产环境最终返回 500，本次代码已做最小修复，需部署后复测并等待 GSC 验证通过。</x:v>
      </x:c>
      <x:c r="F2" s="87" t="str">
        <x:v>2026-08-06 批量核验：78 个直接返回 200；历史异常 URL /&amp; 仍在生产环境最终返回 500，本次代码已做最小修复，需部署后复测并等待 GSC 验证通过。</x:v>
      </x:c>
      <x:c r="G2" s="87" t="str">
        <x:v>2026-08-06 批量核验：78 个直接返回 200；历史异常 URL /&amp; 仍在生产环境最终返回 500，本次代码已做最小修复，需部署后复测并等待 GSC 验证通过。</x:v>
      </x:c>
      <x:c r="H2" s="87" t="str">
        <x:v>2026-08-06 批量核验：78 个直接返回 200；历史异常 URL /&amp; 仍在生产环境最终返回 500，本次代码已做最小修复，需部署后复测并等待 GSC 验证通过。</x:v>
      </x:c>
      <x:c r="I2" s="87" t="str">
        <x:v>2026-08-06 批量核验：78 个直接返回 200；历史异常 URL /&amp; 仍在生产环境最终返回 500，本次代码已做最小修复，需部署后复测并等待 GSC 验证通过。</x:v>
      </x:c>
      <x:c r="J2" s="87" t="str">
        <x:v>2026-08-06 批量核验：78 个直接返回 200；历史异常 URL /&amp; 仍在生产环境最终返回 500，本次代码已做最小修复，需部署后复测并等待 GSC 验证通过。</x:v>
      </x:c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</x:row>
    <x:row r="4" ht="28" customHeight="1">
      <x:c r="A4" s="89" t="str">
        <x:v>URL</x:v>
      </x:c>
      <x:c r="B4" s="90" t="str">
        <x:v>上次抓取</x:v>
      </x:c>
      <x:c r="C4" s="90" t="str">
        <x:v>GSC 验证</x:v>
      </x:c>
      <x:c r="D4" s="90" t="str">
        <x:v>检查时间</x:v>
      </x:c>
      <x:c r="E4" s="90" t="str">
        <x:v>首次状态</x:v>
      </x:c>
      <x:c r="F4" s="90" t="str">
        <x:v>重定向目标</x:v>
      </x:c>
      <x:c r="G4" s="90" t="str">
        <x:v>最终状态</x:v>
      </x:c>
      <x:c r="H4" s="90" t="str">
        <x:v>结果</x:v>
      </x:c>
      <x:c r="I4" s="90" t="str">
        <x:v>耗时(ms)</x:v>
      </x:c>
      <x:c r="J4" s="91" t="str">
        <x:v>来源 URL</x:v>
      </x:c>
    </x:row>
    <x:row r="5">
      <x:c r="A5" s="104" t="str">
        <x:v>https://phwalls.com/en/wallpapers/xiaomi/xiaomi-12-pro</x:v>
      </x:c>
      <x:c r="B5" s="92" t="n">
        <x:v>46195</x:v>
      </x:c>
      <x:c r="C5" s="104" t="str">
        <x:v>验证已开始</x:v>
      </x:c>
      <x:c r="D5" s="111" t="n">
        <x:v>46240.302777777775</x:v>
      </x:c>
      <x:c r="E5" s="112" t="n">
        <x:v>200</x:v>
      </x:c>
      <x:c r="F5" s="112" t="str"/>
      <x:c r="G5" s="112" t="n">
        <x:v>200</x:v>
      </x:c>
      <x:c r="H5" s="104" t="str">
        <x:f>IF(G5=200,"已恢复",IF(G5&gt;=500,"待部署修复","需复核"))</x:f>
        <x:v>已恢复</x:v>
      </x:c>
      <x:c r="I5" s="93" t="n">
        <x:v>797</x:v>
      </x:c>
      <x:c r="J5" s="104" t="str">
        <x:v>https://search.google.com/search-console?resource_id=sc-domain%3Aphwalls.com</x:v>
      </x:c>
    </x:row>
    <x:row r="6">
      <x:c r="A6" s="105" t="str">
        <x:v>https://phwalls.com/zh/wallpapers/vivo/vivo-v60</x:v>
      </x:c>
      <x:c r="B6" s="97" t="n">
        <x:v>46195</x:v>
      </x:c>
      <x:c r="C6" s="105" t="str">
        <x:v>验证已开始</x:v>
      </x:c>
      <x:c r="D6" s="113" t="n">
        <x:v>46240.302777777775</x:v>
      </x:c>
      <x:c r="E6" s="114" t="n">
        <x:v>200</x:v>
      </x:c>
      <x:c r="F6" s="114" t="str"/>
      <x:c r="G6" s="114" t="n">
        <x:v>200</x:v>
      </x:c>
      <x:c r="H6" s="105" t="str">
        <x:f>IF(G6=200,"已恢复",IF(G6&gt;=500,"待部署修复","需复核"))</x:f>
        <x:v>已恢复</x:v>
      </x:c>
      <x:c r="I6" s="101" t="n">
        <x:v>521</x:v>
      </x:c>
      <x:c r="J6" s="105" t="str">
        <x:v>https://search.google.com/search-console?resource_id=sc-domain%3Aphwalls.com</x:v>
      </x:c>
    </x:row>
    <x:row r="7">
      <x:c r="A7" s="105" t="str">
        <x:v>https://phwalls.com/ja/desktop/wallpapers/microsoft-windows/windows-3-0</x:v>
      </x:c>
      <x:c r="B7" s="97" t="n">
        <x:v>46194</x:v>
      </x:c>
      <x:c r="C7" s="105" t="str">
        <x:v>验证已开始</x:v>
      </x:c>
      <x:c r="D7" s="113" t="n">
        <x:v>46240.302777777775</x:v>
      </x:c>
      <x:c r="E7" s="114" t="n">
        <x:v>200</x:v>
      </x:c>
      <x:c r="F7" s="114" t="str"/>
      <x:c r="G7" s="114" t="n">
        <x:v>200</x:v>
      </x:c>
      <x:c r="H7" s="105" t="str">
        <x:f>IF(G7=200,"已恢复",IF(G7&gt;=500,"待部署修复","需复核"))</x:f>
        <x:v>已恢复</x:v>
      </x:c>
      <x:c r="I7" s="101" t="n">
        <x:v>620</x:v>
      </x:c>
      <x:c r="J7" s="105" t="str">
        <x:v>https://search.google.com/search-console?resource_id=sc-domain%3Aphwalls.com</x:v>
      </x:c>
    </x:row>
    <x:row r="8">
      <x:c r="A8" s="105" t="str">
        <x:v>https://phwalls.com/ja/desktop/wallpapers/ubuntu/ubuntu-12-10-quantal-quetzal</x:v>
      </x:c>
      <x:c r="B8" s="97" t="n">
        <x:v>46193</x:v>
      </x:c>
      <x:c r="C8" s="105" t="str">
        <x:v>验证已开始</x:v>
      </x:c>
      <x:c r="D8" s="113" t="n">
        <x:v>46240.302777777775</x:v>
      </x:c>
      <x:c r="E8" s="114" t="n">
        <x:v>200</x:v>
      </x:c>
      <x:c r="F8" s="114" t="str"/>
      <x:c r="G8" s="114" t="n">
        <x:v>200</x:v>
      </x:c>
      <x:c r="H8" s="105" t="str">
        <x:f>IF(G8=200,"已恢复",IF(G8&gt;=500,"待部署修复","需复核"))</x:f>
        <x:v>已恢复</x:v>
      </x:c>
      <x:c r="I8" s="101" t="n">
        <x:v>414</x:v>
      </x:c>
      <x:c r="J8" s="105" t="str">
        <x:v>https://search.google.com/search-console?resource_id=sc-domain%3Aphwalls.com</x:v>
      </x:c>
    </x:row>
    <x:row r="9">
      <x:c r="A9" s="105" t="str">
        <x:v>https://phwalls.com/vi/desktop/wallpapers/ubuntu/ubuntu-24-10-oracular-oriole</x:v>
      </x:c>
      <x:c r="B9" s="97" t="n">
        <x:v>46192</x:v>
      </x:c>
      <x:c r="C9" s="105" t="str">
        <x:v>验证已开始</x:v>
      </x:c>
      <x:c r="D9" s="113" t="n">
        <x:v>46240.302777777775</x:v>
      </x:c>
      <x:c r="E9" s="114" t="n">
        <x:v>200</x:v>
      </x:c>
      <x:c r="F9" s="114" t="str"/>
      <x:c r="G9" s="114" t="n">
        <x:v>200</x:v>
      </x:c>
      <x:c r="H9" s="105" t="str">
        <x:f>IF(G9=200,"已恢复",IF(G9&gt;=500,"待部署修复","需复核"))</x:f>
        <x:v>已恢复</x:v>
      </x:c>
      <x:c r="I9" s="101" t="n">
        <x:v>329</x:v>
      </x:c>
      <x:c r="J9" s="105" t="str">
        <x:v>https://search.google.com/search-console?resource_id=sc-domain%3Aphwalls.com</x:v>
      </x:c>
    </x:row>
    <x:row r="10">
      <x:c r="A10" s="105" t="str">
        <x:v>https://phwalls.com/zh/desktop/wallpapers/microsoft-windows/windows-7-regional</x:v>
      </x:c>
      <x:c r="B10" s="97" t="n">
        <x:v>46191</x:v>
      </x:c>
      <x:c r="C10" s="105" t="str">
        <x:v>验证已开始</x:v>
      </x:c>
      <x:c r="D10" s="113" t="n">
        <x:v>46240.302777777775</x:v>
      </x:c>
      <x:c r="E10" s="114" t="n">
        <x:v>200</x:v>
      </x:c>
      <x:c r="F10" s="114" t="str"/>
      <x:c r="G10" s="114" t="n">
        <x:v>200</x:v>
      </x:c>
      <x:c r="H10" s="105" t="str">
        <x:f>IF(G10=200,"已恢复",IF(G10&gt;=500,"待部署修复","需复核"))</x:f>
        <x:v>已恢复</x:v>
      </x:c>
      <x:c r="I10" s="101" t="n">
        <x:v>257</x:v>
      </x:c>
      <x:c r="J10" s="105" t="str">
        <x:v>https://search.google.com/search-console?resource_id=sc-domain%3Aphwalls.com</x:v>
      </x:c>
    </x:row>
    <x:row r="11">
      <x:c r="A11" s="105" t="str">
        <x:v>https://phwalls.com/vi/desktop/wallpapers/ubuntu/ubuntu-12-10-quantal-quetzal</x:v>
      </x:c>
      <x:c r="B11" s="97" t="n">
        <x:v>46191</x:v>
      </x:c>
      <x:c r="C11" s="105" t="str">
        <x:v>验证已开始</x:v>
      </x:c>
      <x:c r="D11" s="113" t="n">
        <x:v>46240.302777777775</x:v>
      </x:c>
      <x:c r="E11" s="114" t="n">
        <x:v>200</x:v>
      </x:c>
      <x:c r="F11" s="114" t="str"/>
      <x:c r="G11" s="114" t="n">
        <x:v>200</x:v>
      </x:c>
      <x:c r="H11" s="105" t="str">
        <x:f>IF(G11=200,"已恢复",IF(G11&gt;=500,"待部署修复","需复核"))</x:f>
        <x:v>已恢复</x:v>
      </x:c>
      <x:c r="I11" s="101" t="n">
        <x:v>461</x:v>
      </x:c>
      <x:c r="J11" s="105" t="str">
        <x:v>https://search.google.com/search-console?resource_id=sc-domain%3Aphwalls.com</x:v>
      </x:c>
    </x:row>
    <x:row r="12">
      <x:c r="A12" s="105" t="str">
        <x:v>https://phwalls.com/ja/desktop/wallpapers/ubuntu/ubuntu-4-10-warty-warthog</x:v>
      </x:c>
      <x:c r="B12" s="97" t="n">
        <x:v>46191</x:v>
      </x:c>
      <x:c r="C12" s="105" t="str">
        <x:v>验证已开始</x:v>
      </x:c>
      <x:c r="D12" s="113" t="n">
        <x:v>46240.302777777775</x:v>
      </x:c>
      <x:c r="E12" s="114" t="n">
        <x:v>200</x:v>
      </x:c>
      <x:c r="F12" s="114" t="str"/>
      <x:c r="G12" s="114" t="n">
        <x:v>200</x:v>
      </x:c>
      <x:c r="H12" s="105" t="str">
        <x:f>IF(G12=200,"已恢复",IF(G12&gt;=500,"待部署修复","需复核"))</x:f>
        <x:v>已恢复</x:v>
      </x:c>
      <x:c r="I12" s="101" t="n">
        <x:v>179</x:v>
      </x:c>
      <x:c r="J12" s="105" t="str">
        <x:v>https://search.google.com/search-console?resource_id=sc-domain%3Aphwalls.com</x:v>
      </x:c>
    </x:row>
    <x:row r="13">
      <x:c r="A13" s="105" t="str">
        <x:v>https://phwalls.com/zh/desktop/wallpapers/ubuntu/ubuntu-5-10-breezy-badger</x:v>
      </x:c>
      <x:c r="B13" s="97" t="n">
        <x:v>46190</x:v>
      </x:c>
      <x:c r="C13" s="105" t="str">
        <x:v>验证已开始</x:v>
      </x:c>
      <x:c r="D13" s="113" t="n">
        <x:v>46240.302777777775</x:v>
      </x:c>
      <x:c r="E13" s="114" t="n">
        <x:v>200</x:v>
      </x:c>
      <x:c r="F13" s="114" t="str"/>
      <x:c r="G13" s="114" t="n">
        <x:v>200</x:v>
      </x:c>
      <x:c r="H13" s="105" t="str">
        <x:f>IF(G13=200,"已恢复",IF(G13&gt;=500,"待部署修复","需复核"))</x:f>
        <x:v>已恢复</x:v>
      </x:c>
      <x:c r="I13" s="101" t="n">
        <x:v>346</x:v>
      </x:c>
      <x:c r="J13" s="105" t="str">
        <x:v>https://search.google.com/search-console?resource_id=sc-domain%3Aphwalls.com</x:v>
      </x:c>
    </x:row>
    <x:row r="14">
      <x:c r="A14" s="105" t="str">
        <x:v>https://phwalls.com/en/wallpapers/huawei/huawei-mate-50-pro</x:v>
      </x:c>
      <x:c r="B14" s="97" t="n">
        <x:v>46190</x:v>
      </x:c>
      <x:c r="C14" s="105" t="str">
        <x:v>验证已开始</x:v>
      </x:c>
      <x:c r="D14" s="113" t="n">
        <x:v>46240.302777777775</x:v>
      </x:c>
      <x:c r="E14" s="114" t="n">
        <x:v>200</x:v>
      </x:c>
      <x:c r="F14" s="114" t="str"/>
      <x:c r="G14" s="114" t="n">
        <x:v>200</x:v>
      </x:c>
      <x:c r="H14" s="105" t="str">
        <x:f>IF(G14=200,"已恢复",IF(G14&gt;=500,"待部署修复","需复核"))</x:f>
        <x:v>已恢复</x:v>
      </x:c>
      <x:c r="I14" s="101" t="n">
        <x:v>196</x:v>
      </x:c>
      <x:c r="J14" s="105" t="str">
        <x:v>https://search.google.com/search-console?resource_id=sc-domain%3Aphwalls.com</x:v>
      </x:c>
    </x:row>
    <x:row r="15">
      <x:c r="A15" s="105" t="str">
        <x:v>https://phwalls.com/en/wallpapers/honor/honor-view-20</x:v>
      </x:c>
      <x:c r="B15" s="97" t="n">
        <x:v>46190</x:v>
      </x:c>
      <x:c r="C15" s="105" t="str">
        <x:v>验证已开始</x:v>
      </x:c>
      <x:c r="D15" s="113" t="n">
        <x:v>46240.302777777775</x:v>
      </x:c>
      <x:c r="E15" s="114" t="n">
        <x:v>200</x:v>
      </x:c>
      <x:c r="F15" s="114" t="str"/>
      <x:c r="G15" s="114" t="n">
        <x:v>200</x:v>
      </x:c>
      <x:c r="H15" s="105" t="str">
        <x:f>IF(G15=200,"已恢复",IF(G15&gt;=500,"待部署修复","需复核"))</x:f>
        <x:v>已恢复</x:v>
      </x:c>
      <x:c r="I15" s="101" t="n">
        <x:v>328</x:v>
      </x:c>
      <x:c r="J15" s="105" t="str">
        <x:v>https://search.google.com/search-console?resource_id=sc-domain%3Aphwalls.com</x:v>
      </x:c>
    </x:row>
    <x:row r="16">
      <x:c r="A16" s="105" t="str">
        <x:v>https://phwalls.com/en/wallpapers/huawei/huawei-pocket-2</x:v>
      </x:c>
      <x:c r="B16" s="97" t="n">
        <x:v>46190</x:v>
      </x:c>
      <x:c r="C16" s="105" t="str">
        <x:v>验证已开始</x:v>
      </x:c>
      <x:c r="D16" s="113" t="n">
        <x:v>46240.302777777775</x:v>
      </x:c>
      <x:c r="E16" s="114" t="n">
        <x:v>200</x:v>
      </x:c>
      <x:c r="F16" s="114" t="str"/>
      <x:c r="G16" s="114" t="n">
        <x:v>200</x:v>
      </x:c>
      <x:c r="H16" s="105" t="str">
        <x:f>IF(G16=200,"已恢复",IF(G16&gt;=500,"待部署修复","需复核"))</x:f>
        <x:v>已恢复</x:v>
      </x:c>
      <x:c r="I16" s="101" t="n">
        <x:v>329</x:v>
      </x:c>
      <x:c r="J16" s="105" t="str">
        <x:v>https://search.google.com/search-console?resource_id=sc-domain%3Aphwalls.com</x:v>
      </x:c>
    </x:row>
    <x:row r="17">
      <x:c r="A17" s="105" t="str">
        <x:v>https://phwalls.com/en/wallpapers/android/android-7-nougat</x:v>
      </x:c>
      <x:c r="B17" s="97" t="n">
        <x:v>46190</x:v>
      </x:c>
      <x:c r="C17" s="105" t="str">
        <x:v>验证已开始</x:v>
      </x:c>
      <x:c r="D17" s="113" t="n">
        <x:v>46240.302777777775</x:v>
      </x:c>
      <x:c r="E17" s="114" t="n">
        <x:v>200</x:v>
      </x:c>
      <x:c r="F17" s="114" t="str"/>
      <x:c r="G17" s="114" t="n">
        <x:v>200</x:v>
      </x:c>
      <x:c r="H17" s="105" t="str">
        <x:f>IF(G17=200,"已恢复",IF(G17&gt;=500,"待部署修复","需复核"))</x:f>
        <x:v>已恢复</x:v>
      </x:c>
      <x:c r="I17" s="101" t="n">
        <x:v>257</x:v>
      </x:c>
      <x:c r="J17" s="105" t="str">
        <x:v>https://search.google.com/search-console?resource_id=sc-domain%3Aphwalls.com</x:v>
      </x:c>
    </x:row>
    <x:row r="18">
      <x:c r="A18" s="105" t="str">
        <x:v>https://phwalls.com/vi/desktop/wallpapers/microsoft-windows/windows-7-downloadable</x:v>
      </x:c>
      <x:c r="B18" s="97" t="n">
        <x:v>46190</x:v>
      </x:c>
      <x:c r="C18" s="105" t="str">
        <x:v>验证已开始</x:v>
      </x:c>
      <x:c r="D18" s="113" t="n">
        <x:v>46240.302777777775</x:v>
      </x:c>
      <x:c r="E18" s="114" t="n">
        <x:v>200</x:v>
      </x:c>
      <x:c r="F18" s="114" t="str"/>
      <x:c r="G18" s="114" t="n">
        <x:v>200</x:v>
      </x:c>
      <x:c r="H18" s="105" t="str">
        <x:f>IF(G18=200,"已恢复",IF(G18&gt;=500,"待部署修复","需复核"))</x:f>
        <x:v>已恢复</x:v>
      </x:c>
      <x:c r="I18" s="101" t="n">
        <x:v>273</x:v>
      </x:c>
      <x:c r="J18" s="105" t="str">
        <x:v>https://search.google.com/search-console?resource_id=sc-domain%3Aphwalls.com</x:v>
      </x:c>
    </x:row>
    <x:row r="19">
      <x:c r="A19" s="105" t="str">
        <x:v>https://phwalls.com/en/wallpapers/realme/realme-3-pro</x:v>
      </x:c>
      <x:c r="B19" s="97" t="n">
        <x:v>46189</x:v>
      </x:c>
      <x:c r="C19" s="105" t="str">
        <x:v>验证已开始</x:v>
      </x:c>
      <x:c r="D19" s="113" t="n">
        <x:v>46240.302777777775</x:v>
      </x:c>
      <x:c r="E19" s="114" t="n">
        <x:v>200</x:v>
      </x:c>
      <x:c r="F19" s="114" t="str"/>
      <x:c r="G19" s="114" t="n">
        <x:v>200</x:v>
      </x:c>
      <x:c r="H19" s="105" t="str">
        <x:f>IF(G19=200,"已恢复",IF(G19&gt;=500,"待部署修复","需复核"))</x:f>
        <x:v>已恢复</x:v>
      </x:c>
      <x:c r="I19" s="101" t="n">
        <x:v>228</x:v>
      </x:c>
      <x:c r="J19" s="105" t="str">
        <x:v>https://search.google.com/search-console?resource_id=sc-domain%3Aphwalls.com</x:v>
      </x:c>
    </x:row>
    <x:row r="20">
      <x:c r="A20" s="105" t="str">
        <x:v>https://phwalls.com/zh/desktop/wallpapers/ubuntu/ubuntu-06-06-lts-dapper-drake</x:v>
      </x:c>
      <x:c r="B20" s="97" t="n">
        <x:v>46189</x:v>
      </x:c>
      <x:c r="C20" s="105" t="str">
        <x:v>验证已开始</x:v>
      </x:c>
      <x:c r="D20" s="113" t="n">
        <x:v>46240.302777777775</x:v>
      </x:c>
      <x:c r="E20" s="114" t="n">
        <x:v>200</x:v>
      </x:c>
      <x:c r="F20" s="114" t="str"/>
      <x:c r="G20" s="114" t="n">
        <x:v>200</x:v>
      </x:c>
      <x:c r="H20" s="105" t="str">
        <x:f>IF(G20=200,"已恢复",IF(G20&gt;=500,"待部署修复","需复核"))</x:f>
        <x:v>已恢复</x:v>
      </x:c>
      <x:c r="I20" s="101" t="n">
        <x:v>283</x:v>
      </x:c>
      <x:c r="J20" s="105" t="str">
        <x:v>https://search.google.com/search-console?resource_id=sc-domain%3Aphwalls.com</x:v>
      </x:c>
    </x:row>
    <x:row r="21">
      <x:c r="A21" s="105" t="str">
        <x:v>https://phwalls.com/ja/desktop/wallpapers/ubuntu/ubuntu-24-04-lts-noble-numbat-mobile-phone</x:v>
      </x:c>
      <x:c r="B21" s="97" t="n">
        <x:v>46189</x:v>
      </x:c>
      <x:c r="C21" s="105" t="str">
        <x:v>验证已开始</x:v>
      </x:c>
      <x:c r="D21" s="113" t="n">
        <x:v>46240.302777777775</x:v>
      </x:c>
      <x:c r="E21" s="114" t="n">
        <x:v>200</x:v>
      </x:c>
      <x:c r="F21" s="114" t="str"/>
      <x:c r="G21" s="114" t="n">
        <x:v>200</x:v>
      </x:c>
      <x:c r="H21" s="105" t="str">
        <x:f>IF(G21=200,"已恢复",IF(G21&gt;=500,"待部署修复","需复核"))</x:f>
        <x:v>已恢复</x:v>
      </x:c>
      <x:c r="I21" s="101" t="n">
        <x:v>195</x:v>
      </x:c>
      <x:c r="J21" s="105" t="str">
        <x:v>https://search.google.com/search-console?resource_id=sc-domain%3Aphwalls.com</x:v>
      </x:c>
    </x:row>
    <x:row r="22">
      <x:c r="A22" s="105" t="str">
        <x:v>https://phwalls.com/zh/desktop/wallpapers/ubuntu/ubuntu-23-10-mantic-minotaur</x:v>
      </x:c>
      <x:c r="B22" s="97" t="n">
        <x:v>46189</x:v>
      </x:c>
      <x:c r="C22" s="105" t="str">
        <x:v>验证已开始</x:v>
      </x:c>
      <x:c r="D22" s="113" t="n">
        <x:v>46240.302777777775</x:v>
      </x:c>
      <x:c r="E22" s="114" t="n">
        <x:v>200</x:v>
      </x:c>
      <x:c r="F22" s="114" t="str"/>
      <x:c r="G22" s="114" t="n">
        <x:v>200</x:v>
      </x:c>
      <x:c r="H22" s="105" t="str">
        <x:f>IF(G22=200,"已恢复",IF(G22&gt;=500,"待部署修复","需复核"))</x:f>
        <x:v>已恢复</x:v>
      </x:c>
      <x:c r="I22" s="101" t="n">
        <x:v>175</x:v>
      </x:c>
      <x:c r="J22" s="105" t="str">
        <x:v>https://search.google.com/search-console?resource_id=sc-domain%3Aphwalls.com</x:v>
      </x:c>
    </x:row>
    <x:row r="23">
      <x:c r="A23" s="105" t="str">
        <x:v>https://phwalls.com/zh-hant/desktop/wallpapers/ubuntu/ubuntu-20-10-groovy-gorilla</x:v>
      </x:c>
      <x:c r="B23" s="97" t="n">
        <x:v>46189</x:v>
      </x:c>
      <x:c r="C23" s="105" t="str">
        <x:v>验证已开始</x:v>
      </x:c>
      <x:c r="D23" s="113" t="n">
        <x:v>46240.302777777775</x:v>
      </x:c>
      <x:c r="E23" s="114" t="n">
        <x:v>200</x:v>
      </x:c>
      <x:c r="F23" s="114" t="str"/>
      <x:c r="G23" s="114" t="n">
        <x:v>200</x:v>
      </x:c>
      <x:c r="H23" s="105" t="str">
        <x:f>IF(G23=200,"已恢复",IF(G23&gt;=500,"待部署修复","需复核"))</x:f>
        <x:v>已恢复</x:v>
      </x:c>
      <x:c r="I23" s="101" t="n">
        <x:v>250</x:v>
      </x:c>
      <x:c r="J23" s="105" t="str">
        <x:v>https://search.google.com/search-console?resource_id=sc-domain%3Aphwalls.com</x:v>
      </x:c>
    </x:row>
    <x:row r="24">
      <x:c r="A24" s="105" t="str">
        <x:v>https://phwalls.com/zh-hant/desktop/wallpapers/ubuntu/ubuntu-13-04-raring-ringtail</x:v>
      </x:c>
      <x:c r="B24" s="97" t="n">
        <x:v>46189</x:v>
      </x:c>
      <x:c r="C24" s="105" t="str">
        <x:v>验证已开始</x:v>
      </x:c>
      <x:c r="D24" s="113" t="n">
        <x:v>46240.302777777775</x:v>
      </x:c>
      <x:c r="E24" s="114" t="n">
        <x:v>200</x:v>
      </x:c>
      <x:c r="F24" s="114" t="str"/>
      <x:c r="G24" s="114" t="n">
        <x:v>200</x:v>
      </x:c>
      <x:c r="H24" s="105" t="str">
        <x:f>IF(G24=200,"已恢复",IF(G24&gt;=500,"待部署修复","需复核"))</x:f>
        <x:v>已恢复</x:v>
      </x:c>
      <x:c r="I24" s="101" t="n">
        <x:v>427</x:v>
      </x:c>
      <x:c r="J24" s="105" t="str">
        <x:v>https://search.google.com/search-console?resource_id=sc-domain%3Aphwalls.com</x:v>
      </x:c>
    </x:row>
    <x:row r="25">
      <x:c r="A25" s="105" t="str">
        <x:v>https://phwalls.com/en/desktop/wallpapers/microsoft-windows/windows-xp</x:v>
      </x:c>
      <x:c r="B25" s="97" t="n">
        <x:v>46189</x:v>
      </x:c>
      <x:c r="C25" s="105" t="str">
        <x:v>验证已开始</x:v>
      </x:c>
      <x:c r="D25" s="113" t="n">
        <x:v>46240.302777777775</x:v>
      </x:c>
      <x:c r="E25" s="114" t="n">
        <x:v>200</x:v>
      </x:c>
      <x:c r="F25" s="114" t="str"/>
      <x:c r="G25" s="114" t="n">
        <x:v>200</x:v>
      </x:c>
      <x:c r="H25" s="105" t="str">
        <x:f>IF(G25=200,"已恢复",IF(G25&gt;=500,"待部署修复","需复核"))</x:f>
        <x:v>已恢复</x:v>
      </x:c>
      <x:c r="I25" s="101" t="n">
        <x:v>230</x:v>
      </x:c>
      <x:c r="J25" s="105" t="str">
        <x:v>https://search.google.com/search-console?resource_id=sc-domain%3Aphwalls.com</x:v>
      </x:c>
    </x:row>
    <x:row r="26">
      <x:c r="A26" s="105" t="str">
        <x:v>https://phwalls.com/vi/desktop/wallpapers/ubuntu/ubuntu-16-10-yakkety-yak</x:v>
      </x:c>
      <x:c r="B26" s="97" t="n">
        <x:v>46189</x:v>
      </x:c>
      <x:c r="C26" s="105" t="str">
        <x:v>验证已开始</x:v>
      </x:c>
      <x:c r="D26" s="113" t="n">
        <x:v>46240.302777777775</x:v>
      </x:c>
      <x:c r="E26" s="114" t="n">
        <x:v>200</x:v>
      </x:c>
      <x:c r="F26" s="114" t="str"/>
      <x:c r="G26" s="114" t="n">
        <x:v>200</x:v>
      </x:c>
      <x:c r="H26" s="105" t="str">
        <x:f>IF(G26=200,"已恢复",IF(G26&gt;=500,"待部署修复","需复核"))</x:f>
        <x:v>已恢复</x:v>
      </x:c>
      <x:c r="I26" s="101" t="n">
        <x:v>154</x:v>
      </x:c>
      <x:c r="J26" s="105" t="str">
        <x:v>https://search.google.com/search-console?resource_id=sc-domain%3Aphwalls.com</x:v>
      </x:c>
    </x:row>
    <x:row r="27">
      <x:c r="A27" s="105" t="str">
        <x:v>https://phwalls.com/vi/desktop/wallpapers/ubuntu/ubuntu-24-10-oracular-oriole-mobile-phone</x:v>
      </x:c>
      <x:c r="B27" s="97" t="n">
        <x:v>46189</x:v>
      </x:c>
      <x:c r="C27" s="105" t="str">
        <x:v>验证已开始</x:v>
      </x:c>
      <x:c r="D27" s="113" t="n">
        <x:v>46240.302777777775</x:v>
      </x:c>
      <x:c r="E27" s="114" t="n">
        <x:v>200</x:v>
      </x:c>
      <x:c r="F27" s="114" t="str"/>
      <x:c r="G27" s="114" t="n">
        <x:v>200</x:v>
      </x:c>
      <x:c r="H27" s="105" t="str">
        <x:f>IF(G27=200,"已恢复",IF(G27&gt;=500,"待部署修复","需复核"))</x:f>
        <x:v>已恢复</x:v>
      </x:c>
      <x:c r="I27" s="101" t="n">
        <x:v>220</x:v>
      </x:c>
      <x:c r="J27" s="105" t="str">
        <x:v>https://search.google.com/search-console?resource_id=sc-domain%3Aphwalls.com</x:v>
      </x:c>
    </x:row>
    <x:row r="28">
      <x:c r="A28" s="105" t="str">
        <x:v>https://phwalls.com/ja/desktop/wallpapers/ubuntu/ubuntu-5-04-hoary-hedgehog</x:v>
      </x:c>
      <x:c r="B28" s="97" t="n">
        <x:v>46189</x:v>
      </x:c>
      <x:c r="C28" s="105" t="str">
        <x:v>验证已开始</x:v>
      </x:c>
      <x:c r="D28" s="113" t="n">
        <x:v>46240.302777777775</x:v>
      </x:c>
      <x:c r="E28" s="114" t="n">
        <x:v>200</x:v>
      </x:c>
      <x:c r="F28" s="114" t="str"/>
      <x:c r="G28" s="114" t="n">
        <x:v>200</x:v>
      </x:c>
      <x:c r="H28" s="105" t="str">
        <x:f>IF(G28=200,"已恢复",IF(G28&gt;=500,"待部署修复","需复核"))</x:f>
        <x:v>已恢复</x:v>
      </x:c>
      <x:c r="I28" s="101" t="n">
        <x:v>301</x:v>
      </x:c>
      <x:c r="J28" s="105" t="str">
        <x:v>https://search.google.com/search-console?resource_id=sc-domain%3Aphwalls.com</x:v>
      </x:c>
    </x:row>
    <x:row r="29">
      <x:c r="A29" s="105" t="str">
        <x:v>https://phwalls.com/zh-hant/desktop/wallpapers/microsoft-windows/windows-95-and-98</x:v>
      </x:c>
      <x:c r="B29" s="97" t="n">
        <x:v>46189</x:v>
      </x:c>
      <x:c r="C29" s="105" t="str">
        <x:v>验证已开始</x:v>
      </x:c>
      <x:c r="D29" s="113" t="n">
        <x:v>46240.302777777775</x:v>
      </x:c>
      <x:c r="E29" s="114" t="n">
        <x:v>200</x:v>
      </x:c>
      <x:c r="F29" s="114" t="str"/>
      <x:c r="G29" s="114" t="n">
        <x:v>200</x:v>
      </x:c>
      <x:c r="H29" s="105" t="str">
        <x:f>IF(G29=200,"已恢复",IF(G29&gt;=500,"待部署修复","需复核"))</x:f>
        <x:v>已恢复</x:v>
      </x:c>
      <x:c r="I29" s="101" t="n">
        <x:v>339</x:v>
      </x:c>
      <x:c r="J29" s="105" t="str">
        <x:v>https://search.google.com/search-console?resource_id=sc-domain%3Aphwalls.com</x:v>
      </x:c>
    </x:row>
    <x:row r="30">
      <x:c r="A30" s="105" t="str">
        <x:v>https://phwalls.com/vi/desktop/wallpapers/ubuntu/ubuntu-17-10-artful-aardvark</x:v>
      </x:c>
      <x:c r="B30" s="97" t="n">
        <x:v>46189</x:v>
      </x:c>
      <x:c r="C30" s="105" t="str">
        <x:v>验证已开始</x:v>
      </x:c>
      <x:c r="D30" s="113" t="n">
        <x:v>46240.302777777775</x:v>
      </x:c>
      <x:c r="E30" s="114" t="n">
        <x:v>200</x:v>
      </x:c>
      <x:c r="F30" s="114" t="str"/>
      <x:c r="G30" s="114" t="n">
        <x:v>200</x:v>
      </x:c>
      <x:c r="H30" s="105" t="str">
        <x:f>IF(G30=200,"已恢复",IF(G30&gt;=500,"待部署修复","需复核"))</x:f>
        <x:v>已恢复</x:v>
      </x:c>
      <x:c r="I30" s="101" t="n">
        <x:v>328</x:v>
      </x:c>
      <x:c r="J30" s="105" t="str">
        <x:v>https://search.google.com/search-console?resource_id=sc-domain%3Aphwalls.com</x:v>
      </x:c>
    </x:row>
    <x:row r="31">
      <x:c r="A31" s="105" t="str">
        <x:v>https://phwalls.com/ja/desktop/wallpapers/ubuntu/ubuntu-8-04-lts-hardy-heron</x:v>
      </x:c>
      <x:c r="B31" s="97" t="n">
        <x:v>46189</x:v>
      </x:c>
      <x:c r="C31" s="105" t="str">
        <x:v>验证已开始</x:v>
      </x:c>
      <x:c r="D31" s="113" t="n">
        <x:v>46240.302777777775</x:v>
      </x:c>
      <x:c r="E31" s="114" t="n">
        <x:v>200</x:v>
      </x:c>
      <x:c r="F31" s="114" t="str"/>
      <x:c r="G31" s="114" t="n">
        <x:v>200</x:v>
      </x:c>
      <x:c r="H31" s="105" t="str">
        <x:f>IF(G31=200,"已恢复",IF(G31&gt;=500,"待部署修复","需复核"))</x:f>
        <x:v>已恢复</x:v>
      </x:c>
      <x:c r="I31" s="101" t="n">
        <x:v>209</x:v>
      </x:c>
      <x:c r="J31" s="105" t="str">
        <x:v>https://search.google.com/search-console?resource_id=sc-domain%3Aphwalls.com</x:v>
      </x:c>
    </x:row>
    <x:row r="32">
      <x:c r="A32" s="105" t="str">
        <x:v>https://phwalls.com/en/desktop/wallpapers/ubuntu/ubuntu-10-04-lts-lucid-lynx</x:v>
      </x:c>
      <x:c r="B32" s="97" t="n">
        <x:v>46189</x:v>
      </x:c>
      <x:c r="C32" s="105" t="str">
        <x:v>验证已开始</x:v>
      </x:c>
      <x:c r="D32" s="113" t="n">
        <x:v>46240.302777777775</x:v>
      </x:c>
      <x:c r="E32" s="114" t="n">
        <x:v>200</x:v>
      </x:c>
      <x:c r="F32" s="114" t="str"/>
      <x:c r="G32" s="114" t="n">
        <x:v>200</x:v>
      </x:c>
      <x:c r="H32" s="105" t="str">
        <x:f>IF(G32=200,"已恢复",IF(G32&gt;=500,"待部署修复","需复核"))</x:f>
        <x:v>已恢复</x:v>
      </x:c>
      <x:c r="I32" s="101" t="n">
        <x:v>180</x:v>
      </x:c>
      <x:c r="J32" s="105" t="str">
        <x:v>https://search.google.com/search-console?resource_id=sc-domain%3Aphwalls.com</x:v>
      </x:c>
    </x:row>
    <x:row r="33">
      <x:c r="A33" s="105" t="str">
        <x:v>https://phwalls.com/zh/desktop/wallpapers/ubuntu/ubuntu-13-04-raring-ringtail</x:v>
      </x:c>
      <x:c r="B33" s="97" t="n">
        <x:v>46189</x:v>
      </x:c>
      <x:c r="C33" s="105" t="str">
        <x:v>验证已开始</x:v>
      </x:c>
      <x:c r="D33" s="113" t="n">
        <x:v>46240.302777777775</x:v>
      </x:c>
      <x:c r="E33" s="114" t="n">
        <x:v>200</x:v>
      </x:c>
      <x:c r="F33" s="114" t="str"/>
      <x:c r="G33" s="114" t="n">
        <x:v>200</x:v>
      </x:c>
      <x:c r="H33" s="105" t="str">
        <x:f>IF(G33=200,"已恢复",IF(G33&gt;=500,"待部署修复","需复核"))</x:f>
        <x:v>已恢复</x:v>
      </x:c>
      <x:c r="I33" s="101" t="n">
        <x:v>331</x:v>
      </x:c>
      <x:c r="J33" s="105" t="str">
        <x:v>https://search.google.com/search-console?resource_id=sc-domain%3Aphwalls.com</x:v>
      </x:c>
    </x:row>
    <x:row r="34">
      <x:c r="A34" s="105" t="str">
        <x:v>https://phwalls.com/ja/desktop/wallpapers/ubuntu/ubuntu-21-04-hirsute-hippo</x:v>
      </x:c>
      <x:c r="B34" s="97" t="n">
        <x:v>46189</x:v>
      </x:c>
      <x:c r="C34" s="105" t="str">
        <x:v>验证已开始</x:v>
      </x:c>
      <x:c r="D34" s="113" t="n">
        <x:v>46240.302777777775</x:v>
      </x:c>
      <x:c r="E34" s="114" t="n">
        <x:v>200</x:v>
      </x:c>
      <x:c r="F34" s="114" t="str"/>
      <x:c r="G34" s="114" t="n">
        <x:v>200</x:v>
      </x:c>
      <x:c r="H34" s="105" t="str">
        <x:f>IF(G34=200,"已恢复",IF(G34&gt;=500,"待部署修复","需复核"))</x:f>
        <x:v>已恢复</x:v>
      </x:c>
      <x:c r="I34" s="101" t="n">
        <x:v>192</x:v>
      </x:c>
      <x:c r="J34" s="105" t="str">
        <x:v>https://search.google.com/search-console?resource_id=sc-domain%3Aphwalls.com</x:v>
      </x:c>
    </x:row>
    <x:row r="35">
      <x:c r="A35" s="105" t="str">
        <x:v>https://phwalls.com/zh-hant/desktop/wallpapers/ubuntu/ubuntu-14-10-utopic-unicorn</x:v>
      </x:c>
      <x:c r="B35" s="97" t="n">
        <x:v>46189</x:v>
      </x:c>
      <x:c r="C35" s="105" t="str">
        <x:v>验证已开始</x:v>
      </x:c>
      <x:c r="D35" s="113" t="n">
        <x:v>46240.302777777775</x:v>
      </x:c>
      <x:c r="E35" s="114" t="n">
        <x:v>200</x:v>
      </x:c>
      <x:c r="F35" s="114" t="str"/>
      <x:c r="G35" s="114" t="n">
        <x:v>200</x:v>
      </x:c>
      <x:c r="H35" s="105" t="str">
        <x:f>IF(G35=200,"已恢复",IF(G35&gt;=500,"待部署修复","需复核"))</x:f>
        <x:v>已恢复</x:v>
      </x:c>
      <x:c r="I35" s="101" t="n">
        <x:v>241</x:v>
      </x:c>
      <x:c r="J35" s="105" t="str">
        <x:v>https://search.google.com/search-console?resource_id=sc-domain%3Aphwalls.com</x:v>
      </x:c>
    </x:row>
    <x:row r="36">
      <x:c r="A36" s="105" t="str">
        <x:v>https://phwalls.com/zh/desktop/wallpapers/google-chromeos/chrome-os-86-element-by-rutger-paulusse</x:v>
      </x:c>
      <x:c r="B36" s="97" t="n">
        <x:v>46189</x:v>
      </x:c>
      <x:c r="C36" s="105" t="str">
        <x:v>验证已开始</x:v>
      </x:c>
      <x:c r="D36" s="113" t="n">
        <x:v>46240.302777777775</x:v>
      </x:c>
      <x:c r="E36" s="114" t="n">
        <x:v>200</x:v>
      </x:c>
      <x:c r="F36" s="114" t="str"/>
      <x:c r="G36" s="114" t="n">
        <x:v>200</x:v>
      </x:c>
      <x:c r="H36" s="105" t="str">
        <x:f>IF(G36=200,"已恢复",IF(G36&gt;=500,"待部署修复","需复核"))</x:f>
        <x:v>已恢复</x:v>
      </x:c>
      <x:c r="I36" s="101" t="n">
        <x:v>274</x:v>
      </x:c>
      <x:c r="J36" s="105" t="str">
        <x:v>https://search.google.com/search-console?resource_id=sc-domain%3Aphwalls.com</x:v>
      </x:c>
    </x:row>
    <x:row r="37">
      <x:c r="A37" s="105" t="str">
        <x:v>https://phwalls.com/zh-hant/desktop/wallpapers/microsoft-windows/windows-nt-4-0</x:v>
      </x:c>
      <x:c r="B37" s="97" t="n">
        <x:v>46189</x:v>
      </x:c>
      <x:c r="C37" s="105" t="str">
        <x:v>验证已开始</x:v>
      </x:c>
      <x:c r="D37" s="113" t="n">
        <x:v>46240.302777777775</x:v>
      </x:c>
      <x:c r="E37" s="114" t="n">
        <x:v>200</x:v>
      </x:c>
      <x:c r="F37" s="114" t="str"/>
      <x:c r="G37" s="114" t="n">
        <x:v>200</x:v>
      </x:c>
      <x:c r="H37" s="105" t="str">
        <x:f>IF(G37=200,"已恢复",IF(G37&gt;=500,"待部署修复","需复核"))</x:f>
        <x:v>已恢复</x:v>
      </x:c>
      <x:c r="I37" s="101" t="n">
        <x:v>362</x:v>
      </x:c>
      <x:c r="J37" s="105" t="str">
        <x:v>https://search.google.com/search-console?resource_id=sc-domain%3Aphwalls.com</x:v>
      </x:c>
    </x:row>
    <x:row r="38">
      <x:c r="A38" s="105" t="str">
        <x:v>https://phwalls.com/vi/desktop/wallpapers/ubuntu/ubuntu-5-04-hoary-hedgehog</x:v>
      </x:c>
      <x:c r="B38" s="97" t="n">
        <x:v>46189</x:v>
      </x:c>
      <x:c r="C38" s="105" t="str">
        <x:v>验证已开始</x:v>
      </x:c>
      <x:c r="D38" s="113" t="n">
        <x:v>46240.302777777775</x:v>
      </x:c>
      <x:c r="E38" s="114" t="n">
        <x:v>200</x:v>
      </x:c>
      <x:c r="F38" s="114" t="str"/>
      <x:c r="G38" s="114" t="n">
        <x:v>200</x:v>
      </x:c>
      <x:c r="H38" s="105" t="str">
        <x:f>IF(G38=200,"已恢复",IF(G38&gt;=500,"待部署修复","需复核"))</x:f>
        <x:v>已恢复</x:v>
      </x:c>
      <x:c r="I38" s="101" t="n">
        <x:v>185</x:v>
      </x:c>
      <x:c r="J38" s="105" t="str">
        <x:v>https://search.google.com/search-console?resource_id=sc-domain%3Aphwalls.com</x:v>
      </x:c>
    </x:row>
    <x:row r="39">
      <x:c r="A39" s="105" t="str">
        <x:v>https://phwalls.com/ja/desktop/wallpapers/ubuntu/ubuntu-10-10-maverick-meerkat</x:v>
      </x:c>
      <x:c r="B39" s="97" t="n">
        <x:v>46189</x:v>
      </x:c>
      <x:c r="C39" s="105" t="str">
        <x:v>验证已开始</x:v>
      </x:c>
      <x:c r="D39" s="113" t="n">
        <x:v>46240.302777777775</x:v>
      </x:c>
      <x:c r="E39" s="114" t="n">
        <x:v>200</x:v>
      </x:c>
      <x:c r="F39" s="114" t="str"/>
      <x:c r="G39" s="114" t="n">
        <x:v>200</x:v>
      </x:c>
      <x:c r="H39" s="105" t="str">
        <x:f>IF(G39=200,"已恢复",IF(G39&gt;=500,"待部署修复","需复核"))</x:f>
        <x:v>已恢复</x:v>
      </x:c>
      <x:c r="I39" s="101" t="n">
        <x:v>316</x:v>
      </x:c>
      <x:c r="J39" s="105" t="str">
        <x:v>https://search.google.com/search-console?resource_id=sc-domain%3Aphwalls.com</x:v>
      </x:c>
    </x:row>
    <x:row r="40">
      <x:c r="A40" s="105" t="str">
        <x:v>https://phwalls.com/zh-hant/desktop/wallpapers/ubuntu/ubuntu-14-04-lts-trusty-tahr</x:v>
      </x:c>
      <x:c r="B40" s="97" t="n">
        <x:v>46189</x:v>
      </x:c>
      <x:c r="C40" s="105" t="str">
        <x:v>验证已开始</x:v>
      </x:c>
      <x:c r="D40" s="113" t="n">
        <x:v>46240.302777777775</x:v>
      </x:c>
      <x:c r="E40" s="114" t="n">
        <x:v>200</x:v>
      </x:c>
      <x:c r="F40" s="114" t="str"/>
      <x:c r="G40" s="114" t="n">
        <x:v>200</x:v>
      </x:c>
      <x:c r="H40" s="105" t="str">
        <x:f>IF(G40=200,"已恢复",IF(G40&gt;=500,"待部署修复","需复核"))</x:f>
        <x:v>已恢复</x:v>
      </x:c>
      <x:c r="I40" s="101" t="n">
        <x:v>169</x:v>
      </x:c>
      <x:c r="J40" s="105" t="str">
        <x:v>https://search.google.com/search-console?resource_id=sc-domain%3Aphwalls.com</x:v>
      </x:c>
    </x:row>
    <x:row r="41">
      <x:c r="A41" s="105" t="str">
        <x:v>https://phwalls.com/ja/desktop/wallpapers/ubuntu/ubuntu-20-04-lts-focal-fossa</x:v>
      </x:c>
      <x:c r="B41" s="97" t="n">
        <x:v>46189</x:v>
      </x:c>
      <x:c r="C41" s="105" t="str">
        <x:v>验证已开始</x:v>
      </x:c>
      <x:c r="D41" s="113" t="n">
        <x:v>46240.302777777775</x:v>
      </x:c>
      <x:c r="E41" s="114" t="n">
        <x:v>200</x:v>
      </x:c>
      <x:c r="F41" s="114" t="str"/>
      <x:c r="G41" s="114" t="n">
        <x:v>200</x:v>
      </x:c>
      <x:c r="H41" s="105" t="str">
        <x:f>IF(G41=200,"已恢复",IF(G41&gt;=500,"待部署修复","需复核"))</x:f>
        <x:v>已恢复</x:v>
      </x:c>
      <x:c r="I41" s="101" t="n">
        <x:v>254</x:v>
      </x:c>
      <x:c r="J41" s="105" t="str">
        <x:v>https://search.google.com/search-console?resource_id=sc-domain%3Aphwalls.com</x:v>
      </x:c>
    </x:row>
    <x:row r="42">
      <x:c r="A42" s="105" t="str">
        <x:v>https://phwalls.com/zh/desktop/wallpapers/ubuntu/ubuntu-7-10-gutsy-gibbon</x:v>
      </x:c>
      <x:c r="B42" s="97" t="n">
        <x:v>46189</x:v>
      </x:c>
      <x:c r="C42" s="105" t="str">
        <x:v>验证已开始</x:v>
      </x:c>
      <x:c r="D42" s="113" t="n">
        <x:v>46240.302777777775</x:v>
      </x:c>
      <x:c r="E42" s="114" t="n">
        <x:v>200</x:v>
      </x:c>
      <x:c r="F42" s="114" t="str"/>
      <x:c r="G42" s="114" t="n">
        <x:v>200</x:v>
      </x:c>
      <x:c r="H42" s="105" t="str">
        <x:f>IF(G42=200,"已恢复",IF(G42&gt;=500,"待部署修复","需复核"))</x:f>
        <x:v>已恢复</x:v>
      </x:c>
      <x:c r="I42" s="101" t="n">
        <x:v>259</x:v>
      </x:c>
      <x:c r="J42" s="105" t="str">
        <x:v>https://search.google.com/search-console?resource_id=sc-domain%3Aphwalls.com</x:v>
      </x:c>
    </x:row>
    <x:row r="43">
      <x:c r="A43" s="105" t="str">
        <x:v>https://phwalls.com/zh/desktop/wallpapers/microsoft-windows/windows-2000</x:v>
      </x:c>
      <x:c r="B43" s="97" t="n">
        <x:v>46189</x:v>
      </x:c>
      <x:c r="C43" s="105" t="str">
        <x:v>验证已开始</x:v>
      </x:c>
      <x:c r="D43" s="113" t="n">
        <x:v>46240.302777777775</x:v>
      </x:c>
      <x:c r="E43" s="114" t="n">
        <x:v>200</x:v>
      </x:c>
      <x:c r="F43" s="114" t="str"/>
      <x:c r="G43" s="114" t="n">
        <x:v>200</x:v>
      </x:c>
      <x:c r="H43" s="105" t="str">
        <x:f>IF(G43=200,"已恢复",IF(G43&gt;=500,"待部署修复","需复核"))</x:f>
        <x:v>已恢复</x:v>
      </x:c>
      <x:c r="I43" s="101" t="n">
        <x:v>248</x:v>
      </x:c>
      <x:c r="J43" s="105" t="str">
        <x:v>https://search.google.com/search-console?resource_id=sc-domain%3Aphwalls.com</x:v>
      </x:c>
    </x:row>
    <x:row r="44">
      <x:c r="A44" s="105" t="str">
        <x:v>https://phwalls.com/zh/desktop/wallpapers/ubuntu/ubuntu-10-10-maverick-meerkat</x:v>
      </x:c>
      <x:c r="B44" s="97" t="n">
        <x:v>46189</x:v>
      </x:c>
      <x:c r="C44" s="105" t="str">
        <x:v>验证已开始</x:v>
      </x:c>
      <x:c r="D44" s="113" t="n">
        <x:v>46240.302777777775</x:v>
      </x:c>
      <x:c r="E44" s="114" t="n">
        <x:v>200</x:v>
      </x:c>
      <x:c r="F44" s="114" t="str"/>
      <x:c r="G44" s="114" t="n">
        <x:v>200</x:v>
      </x:c>
      <x:c r="H44" s="105" t="str">
        <x:f>IF(G44=200,"已恢复",IF(G44&gt;=500,"待部署修复","需复核"))</x:f>
        <x:v>已恢复</x:v>
      </x:c>
      <x:c r="I44" s="101" t="n">
        <x:v>262</x:v>
      </x:c>
      <x:c r="J44" s="105" t="str">
        <x:v>https://search.google.com/search-console?resource_id=sc-domain%3Aphwalls.com</x:v>
      </x:c>
    </x:row>
    <x:row r="45">
      <x:c r="A45" s="105" t="str">
        <x:v>https://phwalls.com/vi/desktop/wallpapers/ubuntu/ubuntu-20-10-groovy-gorilla</x:v>
      </x:c>
      <x:c r="B45" s="97" t="n">
        <x:v>46189</x:v>
      </x:c>
      <x:c r="C45" s="105" t="str">
        <x:v>验证已开始</x:v>
      </x:c>
      <x:c r="D45" s="113" t="n">
        <x:v>46240.302777777775</x:v>
      </x:c>
      <x:c r="E45" s="114" t="n">
        <x:v>200</x:v>
      </x:c>
      <x:c r="F45" s="114" t="str"/>
      <x:c r="G45" s="114" t="n">
        <x:v>200</x:v>
      </x:c>
      <x:c r="H45" s="105" t="str">
        <x:f>IF(G45=200,"已恢复",IF(G45&gt;=500,"待部署修复","需复核"))</x:f>
        <x:v>已恢复</x:v>
      </x:c>
      <x:c r="I45" s="101" t="n">
        <x:v>185</x:v>
      </x:c>
      <x:c r="J45" s="105" t="str">
        <x:v>https://search.google.com/search-console?resource_id=sc-domain%3Aphwalls.com</x:v>
      </x:c>
    </x:row>
    <x:row r="46">
      <x:c r="A46" s="105" t="str">
        <x:v>https://phwalls.com/en/desktop/wallpapers/microsoft-windows/windows-xp-media-center-edition</x:v>
      </x:c>
      <x:c r="B46" s="97" t="n">
        <x:v>46189</x:v>
      </x:c>
      <x:c r="C46" s="105" t="str">
        <x:v>验证已开始</x:v>
      </x:c>
      <x:c r="D46" s="113" t="n">
        <x:v>46240.302777777775</x:v>
      </x:c>
      <x:c r="E46" s="114" t="n">
        <x:v>200</x:v>
      </x:c>
      <x:c r="F46" s="114" t="str"/>
      <x:c r="G46" s="114" t="n">
        <x:v>200</x:v>
      </x:c>
      <x:c r="H46" s="105" t="str">
        <x:f>IF(G46=200,"已恢复",IF(G46&gt;=500,"待部署修复","需复核"))</x:f>
        <x:v>已恢复</x:v>
      </x:c>
      <x:c r="I46" s="101" t="n">
        <x:v>193</x:v>
      </x:c>
      <x:c r="J46" s="105" t="str">
        <x:v>https://search.google.com/search-console?resource_id=sc-domain%3Aphwalls.com</x:v>
      </x:c>
    </x:row>
    <x:row r="47">
      <x:c r="A47" s="105" t="str">
        <x:v>https://phwalls.com/zh/desktop/wallpapers/microsoft-windows/windows-xp-starter-edition</x:v>
      </x:c>
      <x:c r="B47" s="97" t="n">
        <x:v>46189</x:v>
      </x:c>
      <x:c r="C47" s="105" t="str">
        <x:v>验证已开始</x:v>
      </x:c>
      <x:c r="D47" s="113" t="n">
        <x:v>46240.302777777775</x:v>
      </x:c>
      <x:c r="E47" s="114" t="n">
        <x:v>200</x:v>
      </x:c>
      <x:c r="F47" s="114" t="str"/>
      <x:c r="G47" s="114" t="n">
        <x:v>200</x:v>
      </x:c>
      <x:c r="H47" s="105" t="str">
        <x:f>IF(G47=200,"已恢复",IF(G47&gt;=500,"待部署修复","需复核"))</x:f>
        <x:v>已恢复</x:v>
      </x:c>
      <x:c r="I47" s="101" t="n">
        <x:v>325</x:v>
      </x:c>
      <x:c r="J47" s="105" t="str">
        <x:v>https://search.google.com/search-console?resource_id=sc-domain%3Aphwalls.com</x:v>
      </x:c>
    </x:row>
    <x:row r="48">
      <x:c r="A48" s="105" t="str">
        <x:v>https://phwalls.com/zh-hant/desktop/wallpapers/microsoft-windows/windows-xp-starter-edition</x:v>
      </x:c>
      <x:c r="B48" s="97" t="n">
        <x:v>46189</x:v>
      </x:c>
      <x:c r="C48" s="105" t="str">
        <x:v>验证已开始</x:v>
      </x:c>
      <x:c r="D48" s="113" t="n">
        <x:v>46240.302777777775</x:v>
      </x:c>
      <x:c r="E48" s="114" t="n">
        <x:v>200</x:v>
      </x:c>
      <x:c r="F48" s="114" t="str"/>
      <x:c r="G48" s="114" t="n">
        <x:v>200</x:v>
      </x:c>
      <x:c r="H48" s="105" t="str">
        <x:f>IF(G48=200,"已恢复",IF(G48&gt;=500,"待部署修复","需复核"))</x:f>
        <x:v>已恢复</x:v>
      </x:c>
      <x:c r="I48" s="101" t="n">
        <x:v>196</x:v>
      </x:c>
      <x:c r="J48" s="105" t="str">
        <x:v>https://search.google.com/search-console?resource_id=sc-domain%3Aphwalls.com</x:v>
      </x:c>
    </x:row>
    <x:row r="49">
      <x:c r="A49" s="105" t="str">
        <x:v>https://phwalls.com/zh/desktop/wallpapers/ubuntu/ubuntu-08-04-lts-hardy-heron</x:v>
      </x:c>
      <x:c r="B49" s="97" t="n">
        <x:v>46189</x:v>
      </x:c>
      <x:c r="C49" s="105" t="str">
        <x:v>验证已开始</x:v>
      </x:c>
      <x:c r="D49" s="113" t="n">
        <x:v>46240.302777777775</x:v>
      </x:c>
      <x:c r="E49" s="114" t="n">
        <x:v>200</x:v>
      </x:c>
      <x:c r="F49" s="114" t="str"/>
      <x:c r="G49" s="114" t="n">
        <x:v>200</x:v>
      </x:c>
      <x:c r="H49" s="105" t="str">
        <x:f>IF(G49=200,"已恢复",IF(G49&gt;=500,"待部署修复","需复核"))</x:f>
        <x:v>已恢复</x:v>
      </x:c>
      <x:c r="I49" s="101" t="n">
        <x:v>174</x:v>
      </x:c>
      <x:c r="J49" s="105" t="str">
        <x:v>https://search.google.com/search-console?resource_id=sc-domain%3Aphwalls.com</x:v>
      </x:c>
    </x:row>
    <x:row r="50">
      <x:c r="A50" s="105" t="str">
        <x:v>https://phwalls.com/vi/desktop/wallpapers/ubuntu/ubuntu-08-04-lts-hardy-heron</x:v>
      </x:c>
      <x:c r="B50" s="97" t="n">
        <x:v>46189</x:v>
      </x:c>
      <x:c r="C50" s="105" t="str">
        <x:v>验证已开始</x:v>
      </x:c>
      <x:c r="D50" s="113" t="n">
        <x:v>46240.302777777775</x:v>
      </x:c>
      <x:c r="E50" s="114" t="n">
        <x:v>200</x:v>
      </x:c>
      <x:c r="F50" s="114" t="str"/>
      <x:c r="G50" s="114" t="n">
        <x:v>200</x:v>
      </x:c>
      <x:c r="H50" s="105" t="str">
        <x:f>IF(G50=200,"已恢复",IF(G50&gt;=500,"待部署修复","需复核"))</x:f>
        <x:v>已恢复</x:v>
      </x:c>
      <x:c r="I50" s="101" t="n">
        <x:v>237</x:v>
      </x:c>
      <x:c r="J50" s="105" t="str">
        <x:v>https://search.google.com/search-console?resource_id=sc-domain%3Aphwalls.com</x:v>
      </x:c>
    </x:row>
    <x:row r="51">
      <x:c r="A51" s="105" t="str">
        <x:v>https://phwalls.com/zh-hant/desktop/wallpapers/microsoft-windows/windows-3-1x-and-nt-3-x</x:v>
      </x:c>
      <x:c r="B51" s="97" t="n">
        <x:v>46189</x:v>
      </x:c>
      <x:c r="C51" s="105" t="str">
        <x:v>验证已开始</x:v>
      </x:c>
      <x:c r="D51" s="113" t="n">
        <x:v>46240.302777777775</x:v>
      </x:c>
      <x:c r="E51" s="114" t="n">
        <x:v>200</x:v>
      </x:c>
      <x:c r="F51" s="114" t="str"/>
      <x:c r="G51" s="114" t="n">
        <x:v>200</x:v>
      </x:c>
      <x:c r="H51" s="105" t="str">
        <x:f>IF(G51=200,"已恢复",IF(G51&gt;=500,"待部署修复","需复核"))</x:f>
        <x:v>已恢复</x:v>
      </x:c>
      <x:c r="I51" s="101" t="n">
        <x:v>277</x:v>
      </x:c>
      <x:c r="J51" s="105" t="str">
        <x:v>https://search.google.com/search-console?resource_id=sc-domain%3Aphwalls.com</x:v>
      </x:c>
    </x:row>
    <x:row r="52">
      <x:c r="A52" s="105" t="str">
        <x:v>https://phwalls.com/vi/desktop/wallpapers/ubuntu/ubuntu-25-04-plucky-puffin</x:v>
      </x:c>
      <x:c r="B52" s="97" t="n">
        <x:v>46189</x:v>
      </x:c>
      <x:c r="C52" s="105" t="str">
        <x:v>验证已开始</x:v>
      </x:c>
      <x:c r="D52" s="113" t="n">
        <x:v>46240.302777777775</x:v>
      </x:c>
      <x:c r="E52" s="114" t="n">
        <x:v>200</x:v>
      </x:c>
      <x:c r="F52" s="114" t="str"/>
      <x:c r="G52" s="114" t="n">
        <x:v>200</x:v>
      </x:c>
      <x:c r="H52" s="105" t="str">
        <x:f>IF(G52=200,"已恢复",IF(G52&gt;=500,"待部署修复","需复核"))</x:f>
        <x:v>已恢复</x:v>
      </x:c>
      <x:c r="I52" s="101" t="n">
        <x:v>254</x:v>
      </x:c>
      <x:c r="J52" s="105" t="str">
        <x:v>https://search.google.com/search-console?resource_id=sc-domain%3Aphwalls.com</x:v>
      </x:c>
    </x:row>
    <x:row r="53">
      <x:c r="A53" s="105" t="str">
        <x:v>https://phwalls.com/en/desktop/wallpapers/ubuntu/ubuntu-11-10-oneiric-ocelot</x:v>
      </x:c>
      <x:c r="B53" s="97" t="n">
        <x:v>46189</x:v>
      </x:c>
      <x:c r="C53" s="105" t="str">
        <x:v>验证已开始</x:v>
      </x:c>
      <x:c r="D53" s="113" t="n">
        <x:v>46240.302777777775</x:v>
      </x:c>
      <x:c r="E53" s="114" t="n">
        <x:v>200</x:v>
      </x:c>
      <x:c r="F53" s="114" t="str"/>
      <x:c r="G53" s="114" t="n">
        <x:v>200</x:v>
      </x:c>
      <x:c r="H53" s="105" t="str">
        <x:f>IF(G53=200,"已恢复",IF(G53&gt;=500,"待部署修复","需复核"))</x:f>
        <x:v>已恢复</x:v>
      </x:c>
      <x:c r="I53" s="101" t="n">
        <x:v>252</x:v>
      </x:c>
      <x:c r="J53" s="105" t="str">
        <x:v>https://search.google.com/search-console?resource_id=sc-domain%3Aphwalls.com</x:v>
      </x:c>
    </x:row>
    <x:row r="54">
      <x:c r="A54" s="105" t="str">
        <x:v>https://phwalls.com/ja/desktop/wallpapers/ubuntu/ubuntu-14-10-utopic-unicorn</x:v>
      </x:c>
      <x:c r="B54" s="97" t="n">
        <x:v>46189</x:v>
      </x:c>
      <x:c r="C54" s="105" t="str">
        <x:v>验证已开始</x:v>
      </x:c>
      <x:c r="D54" s="113" t="n">
        <x:v>46240.302777777775</x:v>
      </x:c>
      <x:c r="E54" s="114" t="n">
        <x:v>200</x:v>
      </x:c>
      <x:c r="F54" s="114" t="str"/>
      <x:c r="G54" s="114" t="n">
        <x:v>200</x:v>
      </x:c>
      <x:c r="H54" s="105" t="str">
        <x:f>IF(G54=200,"已恢复",IF(G54&gt;=500,"待部署修复","需复核"))</x:f>
        <x:v>已恢复</x:v>
      </x:c>
      <x:c r="I54" s="101" t="n">
        <x:v>190</x:v>
      </x:c>
      <x:c r="J54" s="105" t="str">
        <x:v>https://search.google.com/search-console?resource_id=sc-domain%3Aphwalls.com</x:v>
      </x:c>
    </x:row>
    <x:row r="55">
      <x:c r="A55" s="105" t="str">
        <x:v>https://phwalls.com/en/desktop/wallpapers/microsoft-windows/windows-3-0</x:v>
      </x:c>
      <x:c r="B55" s="97" t="n">
        <x:v>46188</x:v>
      </x:c>
      <x:c r="C55" s="105" t="str">
        <x:v>验证已开始</x:v>
      </x:c>
      <x:c r="D55" s="113" t="n">
        <x:v>46240.302777777775</x:v>
      </x:c>
      <x:c r="E55" s="114" t="n">
        <x:v>200</x:v>
      </x:c>
      <x:c r="F55" s="114" t="str"/>
      <x:c r="G55" s="114" t="n">
        <x:v>200</x:v>
      </x:c>
      <x:c r="H55" s="105" t="str">
        <x:f>IF(G55=200,"已恢复",IF(G55&gt;=500,"待部署修复","需复核"))</x:f>
        <x:v>已恢复</x:v>
      </x:c>
      <x:c r="I55" s="101" t="n">
        <x:v>190</x:v>
      </x:c>
      <x:c r="J55" s="105" t="str">
        <x:v>https://search.google.com/search-console?resource_id=sc-domain%3Aphwalls.com</x:v>
      </x:c>
    </x:row>
    <x:row r="56">
      <x:c r="A56" s="105" t="str">
        <x:v>https://phwalls.com/zh/wallpapers/sony/sony-xperia-1-v</x:v>
      </x:c>
      <x:c r="B56" s="97" t="n">
        <x:v>46188</x:v>
      </x:c>
      <x:c r="C56" s="105" t="str">
        <x:v>验证已开始</x:v>
      </x:c>
      <x:c r="D56" s="113" t="n">
        <x:v>46240.302777777775</x:v>
      </x:c>
      <x:c r="E56" s="114" t="n">
        <x:v>200</x:v>
      </x:c>
      <x:c r="F56" s="114" t="str"/>
      <x:c r="G56" s="114" t="n">
        <x:v>200</x:v>
      </x:c>
      <x:c r="H56" s="105" t="str">
        <x:f>IF(G56=200,"已恢复",IF(G56&gt;=500,"待部署修复","需复核"))</x:f>
        <x:v>已恢复</x:v>
      </x:c>
      <x:c r="I56" s="101" t="n">
        <x:v>197</x:v>
      </x:c>
      <x:c r="J56" s="105" t="str">
        <x:v>https://search.google.com/search-console?resource_id=sc-domain%3Aphwalls.com</x:v>
      </x:c>
    </x:row>
    <x:row r="57">
      <x:c r="A57" s="105" t="str">
        <x:v>https://phwalls.com/ja/desktop/wallpapers/ubuntu/ubuntu-5-10-breezy-badger</x:v>
      </x:c>
      <x:c r="B57" s="97" t="n">
        <x:v>46188</x:v>
      </x:c>
      <x:c r="C57" s="105" t="str">
        <x:v>验证已开始</x:v>
      </x:c>
      <x:c r="D57" s="113" t="n">
        <x:v>46240.302777777775</x:v>
      </x:c>
      <x:c r="E57" s="114" t="n">
        <x:v>200</x:v>
      </x:c>
      <x:c r="F57" s="114" t="str"/>
      <x:c r="G57" s="114" t="n">
        <x:v>200</x:v>
      </x:c>
      <x:c r="H57" s="105" t="str">
        <x:f>IF(G57=200,"已恢复",IF(G57&gt;=500,"待部署修复","需复核"))</x:f>
        <x:v>已恢复</x:v>
      </x:c>
      <x:c r="I57" s="101" t="n">
        <x:v>229</x:v>
      </x:c>
      <x:c r="J57" s="105" t="str">
        <x:v>https://search.google.com/search-console?resource_id=sc-domain%3Aphwalls.com</x:v>
      </x:c>
    </x:row>
    <x:row r="58">
      <x:c r="A58" s="105" t="str">
        <x:v>https://phwalls.com/zh-hant/wallpapers/samsung/samsung-galaxy-z-fold-3</x:v>
      </x:c>
      <x:c r="B58" s="97" t="n">
        <x:v>46188</x:v>
      </x:c>
      <x:c r="C58" s="105" t="str">
        <x:v>验证已开始</x:v>
      </x:c>
      <x:c r="D58" s="113" t="n">
        <x:v>46240.302777777775</x:v>
      </x:c>
      <x:c r="E58" s="114" t="n">
        <x:v>200</x:v>
      </x:c>
      <x:c r="F58" s="114" t="str"/>
      <x:c r="G58" s="114" t="n">
        <x:v>200</x:v>
      </x:c>
      <x:c r="H58" s="105" t="str">
        <x:f>IF(G58=200,"已恢复",IF(G58&gt;=500,"待部署修复","需复核"))</x:f>
        <x:v>已恢复</x:v>
      </x:c>
      <x:c r="I58" s="101" t="n">
        <x:v>279</x:v>
      </x:c>
      <x:c r="J58" s="105" t="str">
        <x:v>https://search.google.com/search-console?resource_id=sc-domain%3Aphwalls.com</x:v>
      </x:c>
    </x:row>
    <x:row r="59">
      <x:c r="A59" s="105" t="str">
        <x:v>https://phwalls.com/zh-hant/wallpapers/samsung/samsung-galaxy-s1</x:v>
      </x:c>
      <x:c r="B59" s="97" t="n">
        <x:v>46188</x:v>
      </x:c>
      <x:c r="C59" s="105" t="str">
        <x:v>验证已开始</x:v>
      </x:c>
      <x:c r="D59" s="113" t="n">
        <x:v>46240.302777777775</x:v>
      </x:c>
      <x:c r="E59" s="114" t="n">
        <x:v>200</x:v>
      </x:c>
      <x:c r="F59" s="114" t="str"/>
      <x:c r="G59" s="114" t="n">
        <x:v>200</x:v>
      </x:c>
      <x:c r="H59" s="105" t="str">
        <x:f>IF(G59=200,"已恢复",IF(G59&gt;=500,"待部署修复","需复核"))</x:f>
        <x:v>已恢复</x:v>
      </x:c>
      <x:c r="I59" s="101" t="n">
        <x:v>306</x:v>
      </x:c>
      <x:c r="J59" s="105" t="str">
        <x:v>https://search.google.com/search-console?resource_id=sc-domain%3Aphwalls.com</x:v>
      </x:c>
    </x:row>
    <x:row r="60">
      <x:c r="A60" s="105" t="str">
        <x:v>https://phwalls.com/zh/desktop/wallpapers/ubuntu/ubuntu-19-10-eoan-ermine</x:v>
      </x:c>
      <x:c r="B60" s="97" t="n">
        <x:v>46188</x:v>
      </x:c>
      <x:c r="C60" s="105" t="str">
        <x:v>验证已开始</x:v>
      </x:c>
      <x:c r="D60" s="113" t="n">
        <x:v>46240.302777777775</x:v>
      </x:c>
      <x:c r="E60" s="114" t="n">
        <x:v>200</x:v>
      </x:c>
      <x:c r="F60" s="114" t="str"/>
      <x:c r="G60" s="114" t="n">
        <x:v>200</x:v>
      </x:c>
      <x:c r="H60" s="105" t="str">
        <x:f>IF(G60=200,"已恢复",IF(G60&gt;=500,"待部署修复","需复核"))</x:f>
        <x:v>已恢复</x:v>
      </x:c>
      <x:c r="I60" s="101" t="n">
        <x:v>181</x:v>
      </x:c>
      <x:c r="J60" s="105" t="str">
        <x:v>https://search.google.com/search-console?resource_id=sc-domain%3Aphwalls.com</x:v>
      </x:c>
    </x:row>
    <x:row r="61">
      <x:c r="A61" s="105" t="str">
        <x:v>https://phwalls.com/zh/desktop/wallpapers/ubuntu/ubuntu-25-04-plucky-puffin-mobile-phone</x:v>
      </x:c>
      <x:c r="B61" s="97" t="n">
        <x:v>46188</x:v>
      </x:c>
      <x:c r="C61" s="105" t="str">
        <x:v>验证已开始</x:v>
      </x:c>
      <x:c r="D61" s="113" t="n">
        <x:v>46240.302777777775</x:v>
      </x:c>
      <x:c r="E61" s="114" t="n">
        <x:v>200</x:v>
      </x:c>
      <x:c r="F61" s="114" t="str"/>
      <x:c r="G61" s="114" t="n">
        <x:v>200</x:v>
      </x:c>
      <x:c r="H61" s="105" t="str">
        <x:f>IF(G61=200,"已恢复",IF(G61&gt;=500,"待部署修复","需复核"))</x:f>
        <x:v>已恢复</x:v>
      </x:c>
      <x:c r="I61" s="101" t="n">
        <x:v>188</x:v>
      </x:c>
      <x:c r="J61" s="105" t="str">
        <x:v>https://search.google.com/search-console?resource_id=sc-domain%3Aphwalls.com</x:v>
      </x:c>
    </x:row>
    <x:row r="62">
      <x:c r="A62" s="105" t="str">
        <x:v>https://phwalls.com/ja/desktop/wallpapers/microsoft-windows/windows-7-regional</x:v>
      </x:c>
      <x:c r="B62" s="97" t="n">
        <x:v>46188</x:v>
      </x:c>
      <x:c r="C62" s="105" t="str">
        <x:v>验证已开始</x:v>
      </x:c>
      <x:c r="D62" s="113" t="n">
        <x:v>46240.302777777775</x:v>
      </x:c>
      <x:c r="E62" s="114" t="n">
        <x:v>200</x:v>
      </x:c>
      <x:c r="F62" s="114" t="str"/>
      <x:c r="G62" s="114" t="n">
        <x:v>200</x:v>
      </x:c>
      <x:c r="H62" s="105" t="str">
        <x:f>IF(G62=200,"已恢复",IF(G62&gt;=500,"待部署修复","需复核"))</x:f>
        <x:v>已恢复</x:v>
      </x:c>
      <x:c r="I62" s="101" t="n">
        <x:v>394</x:v>
      </x:c>
      <x:c r="J62" s="105" t="str">
        <x:v>https://search.google.com/search-console?resource_id=sc-domain%3Aphwalls.com</x:v>
      </x:c>
    </x:row>
    <x:row r="63">
      <x:c r="A63" s="105" t="str">
        <x:v>https://phwalls.com/zh/desktop/wallpapers/microsoft-windows/windows-7-downloadable</x:v>
      </x:c>
      <x:c r="B63" s="97" t="n">
        <x:v>46187</x:v>
      </x:c>
      <x:c r="C63" s="105" t="str">
        <x:v>验证已开始</x:v>
      </x:c>
      <x:c r="D63" s="113" t="n">
        <x:v>46240.302777777775</x:v>
      </x:c>
      <x:c r="E63" s="114" t="n">
        <x:v>200</x:v>
      </x:c>
      <x:c r="F63" s="114" t="str"/>
      <x:c r="G63" s="114" t="n">
        <x:v>200</x:v>
      </x:c>
      <x:c r="H63" s="105" t="str">
        <x:f>IF(G63=200,"已恢复",IF(G63&gt;=500,"待部署修复","需复核"))</x:f>
        <x:v>已恢复</x:v>
      </x:c>
      <x:c r="I63" s="101" t="n">
        <x:v>320</x:v>
      </x:c>
      <x:c r="J63" s="105" t="str">
        <x:v>https://search.google.com/search-console?resource_id=sc-domain%3Aphwalls.com</x:v>
      </x:c>
    </x:row>
    <x:row r="64">
      <x:c r="A64" s="105" t="str">
        <x:v>https://phwalls.com/ja/wallpapers/xiaomi/xiaomi-13-ultra</x:v>
      </x:c>
      <x:c r="B64" s="97" t="n">
        <x:v>46187</x:v>
      </x:c>
      <x:c r="C64" s="105" t="str">
        <x:v>验证已开始</x:v>
      </x:c>
      <x:c r="D64" s="113" t="n">
        <x:v>46240.302777777775</x:v>
      </x:c>
      <x:c r="E64" s="114" t="n">
        <x:v>200</x:v>
      </x:c>
      <x:c r="F64" s="114" t="str"/>
      <x:c r="G64" s="114" t="n">
        <x:v>200</x:v>
      </x:c>
      <x:c r="H64" s="105" t="str">
        <x:f>IF(G64=200,"已恢复",IF(G64&gt;=500,"待部署修复","需复核"))</x:f>
        <x:v>已恢复</x:v>
      </x:c>
      <x:c r="I64" s="101" t="n">
        <x:v>149</x:v>
      </x:c>
      <x:c r="J64" s="105" t="str">
        <x:v>https://search.google.com/search-console?resource_id=sc-domain%3Aphwalls.com</x:v>
      </x:c>
    </x:row>
    <x:row r="65">
      <x:c r="A65" s="105" t="str">
        <x:v>https://phwalls.com/zh/wallpapers/google-pixel/google-pixel-11</x:v>
      </x:c>
      <x:c r="B65" s="97" t="n">
        <x:v>46181</x:v>
      </x:c>
      <x:c r="C65" s="105" t="str">
        <x:v>验证已开始</x:v>
      </x:c>
      <x:c r="D65" s="113" t="n">
        <x:v>46240.302777777775</x:v>
      </x:c>
      <x:c r="E65" s="114" t="n">
        <x:v>200</x:v>
      </x:c>
      <x:c r="F65" s="114" t="str"/>
      <x:c r="G65" s="114" t="n">
        <x:v>200</x:v>
      </x:c>
      <x:c r="H65" s="105" t="str">
        <x:f>IF(G65=200,"已恢复",IF(G65&gt;=500,"待部署修复","需复核"))</x:f>
        <x:v>已恢复</x:v>
      </x:c>
      <x:c r="I65" s="101" t="n">
        <x:v>177</x:v>
      </x:c>
      <x:c r="J65" s="105" t="str">
        <x:v>https://search.google.com/search-console?resource_id=sc-domain%3Aphwalls.com</x:v>
      </x:c>
    </x:row>
    <x:row r="66">
      <x:c r="A66" s="105" t="str">
        <x:v>https://phwalls.com/zh-hant/wallpapers/xiaomi/xiaomi-12t-pro</x:v>
      </x:c>
      <x:c r="B66" s="97" t="n">
        <x:v>46181</x:v>
      </x:c>
      <x:c r="C66" s="105" t="str">
        <x:v>验证已开始</x:v>
      </x:c>
      <x:c r="D66" s="113" t="n">
        <x:v>46240.302777777775</x:v>
      </x:c>
      <x:c r="E66" s="114" t="n">
        <x:v>200</x:v>
      </x:c>
      <x:c r="F66" s="114" t="str"/>
      <x:c r="G66" s="114" t="n">
        <x:v>200</x:v>
      </x:c>
      <x:c r="H66" s="105" t="str">
        <x:f>IF(G66=200,"已恢复",IF(G66&gt;=500,"待部署修复","需复核"))</x:f>
        <x:v>已恢复</x:v>
      </x:c>
      <x:c r="I66" s="101" t="n">
        <x:v>199</x:v>
      </x:c>
      <x:c r="J66" s="105" t="str">
        <x:v>https://search.google.com/search-console?resource_id=sc-domain%3Aphwalls.com</x:v>
      </x:c>
    </x:row>
    <x:row r="67">
      <x:c r="A67" s="105" t="str">
        <x:v>https://phwalls.com/zh/wallpapers/xiaomi/redmi-note-12-pro</x:v>
      </x:c>
      <x:c r="B67" s="97" t="n">
        <x:v>46178</x:v>
      </x:c>
      <x:c r="C67" s="105" t="str">
        <x:v>验证已开始</x:v>
      </x:c>
      <x:c r="D67" s="113" t="n">
        <x:v>46240.302777777775</x:v>
      </x:c>
      <x:c r="E67" s="114" t="n">
        <x:v>200</x:v>
      </x:c>
      <x:c r="F67" s="114" t="str"/>
      <x:c r="G67" s="114" t="n">
        <x:v>200</x:v>
      </x:c>
      <x:c r="H67" s="105" t="str">
        <x:f>IF(G67=200,"已恢复",IF(G67&gt;=500,"待部署修复","需复核"))</x:f>
        <x:v>已恢复</x:v>
      </x:c>
      <x:c r="I67" s="101" t="n">
        <x:v>172</x:v>
      </x:c>
      <x:c r="J67" s="105" t="str">
        <x:v>https://search.google.com/search-console?resource_id=sc-domain%3Aphwalls.com</x:v>
      </x:c>
    </x:row>
    <x:row r="68">
      <x:c r="A68" s="105" t="str">
        <x:v>https://phwalls.com/zh/wallpapers/sony/sony-xperia-1-iv</x:v>
      </x:c>
      <x:c r="B68" s="97" t="n">
        <x:v>46177</x:v>
      </x:c>
      <x:c r="C68" s="105" t="str">
        <x:v>验证已开始</x:v>
      </x:c>
      <x:c r="D68" s="113" t="n">
        <x:v>46240.302777777775</x:v>
      </x:c>
      <x:c r="E68" s="114" t="n">
        <x:v>200</x:v>
      </x:c>
      <x:c r="F68" s="114" t="str"/>
      <x:c r="G68" s="114" t="n">
        <x:v>200</x:v>
      </x:c>
      <x:c r="H68" s="105" t="str">
        <x:f>IF(G68=200,"已恢复",IF(G68&gt;=500,"待部署修复","需复核"))</x:f>
        <x:v>已恢复</x:v>
      </x:c>
      <x:c r="I68" s="101" t="n">
        <x:v>252</x:v>
      </x:c>
      <x:c r="J68" s="105" t="str">
        <x:v>https://search.google.com/search-console?resource_id=sc-domain%3Aphwalls.com</x:v>
      </x:c>
    </x:row>
    <x:row r="69">
      <x:c r="A69" s="105" t="str">
        <x:v>https://phwalls.com/en/wallpapers/motorola/moto-edge-50-neo</x:v>
      </x:c>
      <x:c r="B69" s="97" t="n">
        <x:v>46175</x:v>
      </x:c>
      <x:c r="C69" s="105" t="str">
        <x:v>验证已开始</x:v>
      </x:c>
      <x:c r="D69" s="113" t="n">
        <x:v>46240.302777777775</x:v>
      </x:c>
      <x:c r="E69" s="114" t="n">
        <x:v>200</x:v>
      </x:c>
      <x:c r="F69" s="114" t="str"/>
      <x:c r="G69" s="114" t="n">
        <x:v>200</x:v>
      </x:c>
      <x:c r="H69" s="105" t="str">
        <x:f>IF(G69=200,"已恢复",IF(G69&gt;=500,"待部署修复","需复核"))</x:f>
        <x:v>已恢复</x:v>
      </x:c>
      <x:c r="I69" s="101" t="n">
        <x:v>220</x:v>
      </x:c>
      <x:c r="J69" s="105" t="str">
        <x:v>https://search.google.com/search-console?resource_id=sc-domain%3Aphwalls.com</x:v>
      </x:c>
    </x:row>
    <x:row r="70">
      <x:c r="A70" s="105" t="str">
        <x:v>https://phwalls.com/zh/wallpapers/oneplus/oneplus-ace-2v</x:v>
      </x:c>
      <x:c r="B70" s="97" t="n">
        <x:v>46174</x:v>
      </x:c>
      <x:c r="C70" s="105" t="str">
        <x:v>验证已开始</x:v>
      </x:c>
      <x:c r="D70" s="113" t="n">
        <x:v>46240.302777777775</x:v>
      </x:c>
      <x:c r="E70" s="114" t="n">
        <x:v>200</x:v>
      </x:c>
      <x:c r="F70" s="114" t="str"/>
      <x:c r="G70" s="114" t="n">
        <x:v>200</x:v>
      </x:c>
      <x:c r="H70" s="105" t="str">
        <x:f>IF(G70=200,"已恢复",IF(G70&gt;=500,"待部署修复","需复核"))</x:f>
        <x:v>已恢复</x:v>
      </x:c>
      <x:c r="I70" s="101" t="n">
        <x:v>208</x:v>
      </x:c>
      <x:c r="J70" s="105" t="str">
        <x:v>https://search.google.com/search-console?resource_id=sc-domain%3Aphwalls.com</x:v>
      </x:c>
    </x:row>
    <x:row r="71">
      <x:c r="A71" s="105" t="str">
        <x:v>https://phwalls.com/zh/wallpapers/samsung/samsung-galaxy-z-flip-5</x:v>
      </x:c>
      <x:c r="B71" s="97" t="n">
        <x:v>46174</x:v>
      </x:c>
      <x:c r="C71" s="105" t="str">
        <x:v>验证已开始</x:v>
      </x:c>
      <x:c r="D71" s="113" t="n">
        <x:v>46240.302777777775</x:v>
      </x:c>
      <x:c r="E71" s="114" t="n">
        <x:v>200</x:v>
      </x:c>
      <x:c r="F71" s="114" t="str"/>
      <x:c r="G71" s="114" t="n">
        <x:v>200</x:v>
      </x:c>
      <x:c r="H71" s="105" t="str">
        <x:f>IF(G71=200,"已恢复",IF(G71&gt;=500,"待部署修复","需复核"))</x:f>
        <x:v>已恢复</x:v>
      </x:c>
      <x:c r="I71" s="101" t="n">
        <x:v>235</x:v>
      </x:c>
      <x:c r="J71" s="105" t="str">
        <x:v>https://search.google.com/search-console?resource_id=sc-domain%3Aphwalls.com</x:v>
      </x:c>
    </x:row>
    <x:row r="72">
      <x:c r="A72" s="105" t="str">
        <x:v>https://phwalls.com/ja/wallpapers/samsung/samsung-galaxy-a55</x:v>
      </x:c>
      <x:c r="B72" s="97" t="n">
        <x:v>46174</x:v>
      </x:c>
      <x:c r="C72" s="105" t="str">
        <x:v>验证已开始</x:v>
      </x:c>
      <x:c r="D72" s="113" t="n">
        <x:v>46240.302777777775</x:v>
      </x:c>
      <x:c r="E72" s="114" t="n">
        <x:v>200</x:v>
      </x:c>
      <x:c r="F72" s="114" t="str"/>
      <x:c r="G72" s="114" t="n">
        <x:v>200</x:v>
      </x:c>
      <x:c r="H72" s="105" t="str">
        <x:f>IF(G72=200,"已恢复",IF(G72&gt;=500,"待部署修复","需复核"))</x:f>
        <x:v>已恢复</x:v>
      </x:c>
      <x:c r="I72" s="101" t="n">
        <x:v>284</x:v>
      </x:c>
      <x:c r="J72" s="105" t="str">
        <x:v>https://search.google.com/search-console?resource_id=sc-domain%3Aphwalls.com</x:v>
      </x:c>
    </x:row>
    <x:row r="73">
      <x:c r="A73" s="105" t="str">
        <x:v>https://phwalls.com/zh-hant/wallpapers/samsung/samsung-galaxy-a41</x:v>
      </x:c>
      <x:c r="B73" s="97" t="n">
        <x:v>46174</x:v>
      </x:c>
      <x:c r="C73" s="105" t="str">
        <x:v>验证已开始</x:v>
      </x:c>
      <x:c r="D73" s="113" t="n">
        <x:v>46240.302777777775</x:v>
      </x:c>
      <x:c r="E73" s="114" t="n">
        <x:v>200</x:v>
      </x:c>
      <x:c r="F73" s="114" t="str"/>
      <x:c r="G73" s="114" t="n">
        <x:v>200</x:v>
      </x:c>
      <x:c r="H73" s="105" t="str">
        <x:f>IF(G73=200,"已恢复",IF(G73&gt;=500,"待部署修复","需复核"))</x:f>
        <x:v>已恢复</x:v>
      </x:c>
      <x:c r="I73" s="101" t="n">
        <x:v>194</x:v>
      </x:c>
      <x:c r="J73" s="105" t="str">
        <x:v>https://search.google.com/search-console?resource_id=sc-domain%3Aphwalls.com</x:v>
      </x:c>
    </x:row>
    <x:row r="74">
      <x:c r="A74" s="105" t="str">
        <x:v>https://phwalls.com/zh/wallpapers/oneplus/oneplus-open</x:v>
      </x:c>
      <x:c r="B74" s="97" t="n">
        <x:v>46173</x:v>
      </x:c>
      <x:c r="C74" s="105" t="str">
        <x:v>验证已开始</x:v>
      </x:c>
      <x:c r="D74" s="113" t="n">
        <x:v>46240.302777777775</x:v>
      </x:c>
      <x:c r="E74" s="114" t="n">
        <x:v>200</x:v>
      </x:c>
      <x:c r="F74" s="114" t="str"/>
      <x:c r="G74" s="114" t="n">
        <x:v>200</x:v>
      </x:c>
      <x:c r="H74" s="105" t="str">
        <x:f>IF(G74=200,"已恢复",IF(G74&gt;=500,"待部署修复","需复核"))</x:f>
        <x:v>已恢复</x:v>
      </x:c>
      <x:c r="I74" s="101" t="n">
        <x:v>147</x:v>
      </x:c>
      <x:c r="J74" s="105" t="str">
        <x:v>https://search.google.com/search-console?resource_id=sc-domain%3Aphwalls.com</x:v>
      </x:c>
    </x:row>
    <x:row r="75">
      <x:c r="A75" s="105" t="str">
        <x:v>https://phwalls.com/vi/wallpapers/samsung/samsung-galaxy-s22</x:v>
      </x:c>
      <x:c r="B75" s="97" t="n">
        <x:v>46172</x:v>
      </x:c>
      <x:c r="C75" s="105" t="str">
        <x:v>验证已开始</x:v>
      </x:c>
      <x:c r="D75" s="113" t="n">
        <x:v>46240.302777777775</x:v>
      </x:c>
      <x:c r="E75" s="114" t="n">
        <x:v>200</x:v>
      </x:c>
      <x:c r="F75" s="114" t="str"/>
      <x:c r="G75" s="114" t="n">
        <x:v>200</x:v>
      </x:c>
      <x:c r="H75" s="105" t="str">
        <x:f>IF(G75=200,"已恢复",IF(G75&gt;=500,"待部署修复","需复核"))</x:f>
        <x:v>已恢复</x:v>
      </x:c>
      <x:c r="I75" s="101" t="n">
        <x:v>202</x:v>
      </x:c>
      <x:c r="J75" s="105" t="str">
        <x:v>https://search.google.com/search-console?resource_id=sc-domain%3Aphwalls.com</x:v>
      </x:c>
    </x:row>
    <x:row r="76">
      <x:c r="A76" s="105" t="str">
        <x:v>https://phwalls.com/vi/wallpapers/sony/sony-xperia-1-ii</x:v>
      </x:c>
      <x:c r="B76" s="97" t="n">
        <x:v>46172</x:v>
      </x:c>
      <x:c r="C76" s="105" t="str">
        <x:v>验证已开始</x:v>
      </x:c>
      <x:c r="D76" s="113" t="n">
        <x:v>46240.302777777775</x:v>
      </x:c>
      <x:c r="E76" s="114" t="n">
        <x:v>200</x:v>
      </x:c>
      <x:c r="F76" s="114" t="str"/>
      <x:c r="G76" s="114" t="n">
        <x:v>200</x:v>
      </x:c>
      <x:c r="H76" s="105" t="str">
        <x:f>IF(G76=200,"已恢复",IF(G76&gt;=500,"待部署修复","需复核"))</x:f>
        <x:v>已恢复</x:v>
      </x:c>
      <x:c r="I76" s="101" t="n">
        <x:v>271</x:v>
      </x:c>
      <x:c r="J76" s="105" t="str">
        <x:v>https://search.google.com/search-console?resource_id=sc-domain%3Aphwalls.com</x:v>
      </x:c>
    </x:row>
    <x:row r="77">
      <x:c r="A77" s="105" t="str">
        <x:v>https://phwalls.com/vi/wallpapers/sony/sony-xperia-5</x:v>
      </x:c>
      <x:c r="B77" s="97" t="n">
        <x:v>46172</x:v>
      </x:c>
      <x:c r="C77" s="105" t="str">
        <x:v>验证已开始</x:v>
      </x:c>
      <x:c r="D77" s="113" t="n">
        <x:v>46240.302777777775</x:v>
      </x:c>
      <x:c r="E77" s="114" t="n">
        <x:v>200</x:v>
      </x:c>
      <x:c r="F77" s="114" t="str"/>
      <x:c r="G77" s="114" t="n">
        <x:v>200</x:v>
      </x:c>
      <x:c r="H77" s="105" t="str">
        <x:f>IF(G77=200,"已恢复",IF(G77&gt;=500,"待部署修复","需复核"))</x:f>
        <x:v>已恢复</x:v>
      </x:c>
      <x:c r="I77" s="101" t="n">
        <x:v>230</x:v>
      </x:c>
      <x:c r="J77" s="105" t="str">
        <x:v>https://search.google.com/search-console?resource_id=sc-domain%3Aphwalls.com</x:v>
      </x:c>
    </x:row>
    <x:row r="78">
      <x:c r="A78" s="105" t="str">
        <x:v>https://phwalls.com/ja/wallpapers/oppo/oppo-find-n3-flip</x:v>
      </x:c>
      <x:c r="B78" s="97" t="n">
        <x:v>46172</x:v>
      </x:c>
      <x:c r="C78" s="105" t="str">
        <x:v>验证已开始</x:v>
      </x:c>
      <x:c r="D78" s="113" t="n">
        <x:v>46240.302777777775</x:v>
      </x:c>
      <x:c r="E78" s="114" t="n">
        <x:v>200</x:v>
      </x:c>
      <x:c r="F78" s="114" t="str"/>
      <x:c r="G78" s="114" t="n">
        <x:v>200</x:v>
      </x:c>
      <x:c r="H78" s="105" t="str">
        <x:f>IF(G78=200,"已恢复",IF(G78&gt;=500,"待部署修复","需复核"))</x:f>
        <x:v>已恢复</x:v>
      </x:c>
      <x:c r="I78" s="101" t="n">
        <x:v>199</x:v>
      </x:c>
      <x:c r="J78" s="105" t="str">
        <x:v>https://search.google.com/search-console?resource_id=sc-domain%3Aphwalls.com</x:v>
      </x:c>
    </x:row>
    <x:row r="79">
      <x:c r="A79" s="105" t="str">
        <x:v>https://phwalls.com/ja/wallpapers/vivo/vivo-iqoo-neo</x:v>
      </x:c>
      <x:c r="B79" s="97" t="n">
        <x:v>46172</x:v>
      </x:c>
      <x:c r="C79" s="105" t="str">
        <x:v>验证已开始</x:v>
      </x:c>
      <x:c r="D79" s="113" t="n">
        <x:v>46240.302777777775</x:v>
      </x:c>
      <x:c r="E79" s="114" t="n">
        <x:v>200</x:v>
      </x:c>
      <x:c r="F79" s="114" t="str"/>
      <x:c r="G79" s="114" t="n">
        <x:v>200</x:v>
      </x:c>
      <x:c r="H79" s="105" t="str">
        <x:f>IF(G79=200,"已恢复",IF(G79&gt;=500,"待部署修复","需复核"))</x:f>
        <x:v>已恢复</x:v>
      </x:c>
      <x:c r="I79" s="101" t="n">
        <x:v>190</x:v>
      </x:c>
      <x:c r="J79" s="105" t="str">
        <x:v>https://search.google.com/search-console?resource_id=sc-domain%3Aphwalls.com</x:v>
      </x:c>
    </x:row>
    <x:row r="80">
      <x:c r="A80" s="105" t="str">
        <x:v>https://phwalls.com/vi/wallpapers/samsung/samsung-w26-fold</x:v>
      </x:c>
      <x:c r="B80" s="97" t="n">
        <x:v>46171</x:v>
      </x:c>
      <x:c r="C80" s="105" t="str">
        <x:v>验证已开始</x:v>
      </x:c>
      <x:c r="D80" s="113" t="n">
        <x:v>46240.302777777775</x:v>
      </x:c>
      <x:c r="E80" s="114" t="n">
        <x:v>200</x:v>
      </x:c>
      <x:c r="F80" s="114" t="str"/>
      <x:c r="G80" s="114" t="n">
        <x:v>200</x:v>
      </x:c>
      <x:c r="H80" s="105" t="str">
        <x:f>IF(G80=200,"已恢复",IF(G80&gt;=500,"待部署修复","需复核"))</x:f>
        <x:v>已恢复</x:v>
      </x:c>
      <x:c r="I80" s="101" t="n">
        <x:v>337</x:v>
      </x:c>
      <x:c r="J80" s="105" t="str">
        <x:v>https://search.google.com/search-console?resource_id=sc-domain%3Aphwalls.com</x:v>
      </x:c>
    </x:row>
    <x:row r="81">
      <x:c r="A81" s="105" t="str">
        <x:v>https://phwalls.com/vi/wallpapers/realme/realme-gt-5</x:v>
      </x:c>
      <x:c r="B81" s="97" t="n">
        <x:v>46171</x:v>
      </x:c>
      <x:c r="C81" s="105" t="str">
        <x:v>验证已开始</x:v>
      </x:c>
      <x:c r="D81" s="113" t="n">
        <x:v>46240.302777777775</x:v>
      </x:c>
      <x:c r="E81" s="114" t="n">
        <x:v>200</x:v>
      </x:c>
      <x:c r="F81" s="114" t="str"/>
      <x:c r="G81" s="114" t="n">
        <x:v>200</x:v>
      </x:c>
      <x:c r="H81" s="105" t="str">
        <x:f>IF(G81=200,"已恢复",IF(G81&gt;=500,"待部署修复","需复核"))</x:f>
        <x:v>已恢复</x:v>
      </x:c>
      <x:c r="I81" s="101" t="n">
        <x:v>164</x:v>
      </x:c>
      <x:c r="J81" s="105" t="str">
        <x:v>https://search.google.com/search-console?resource_id=sc-domain%3Aphwalls.com</x:v>
      </x:c>
    </x:row>
    <x:row r="82">
      <x:c r="A82" s="105" t="str">
        <x:v>https://phwalls.com/vi/wallpapers/honor/honor-x50</x:v>
      </x:c>
      <x:c r="B82" s="97" t="n">
        <x:v>46170</x:v>
      </x:c>
      <x:c r="C82" s="105" t="str">
        <x:v>验证已开始</x:v>
      </x:c>
      <x:c r="D82" s="113" t="n">
        <x:v>46240.302777777775</x:v>
      </x:c>
      <x:c r="E82" s="114" t="n">
        <x:v>200</x:v>
      </x:c>
      <x:c r="F82" s="114" t="str"/>
      <x:c r="G82" s="114" t="n">
        <x:v>200</x:v>
      </x:c>
      <x:c r="H82" s="105" t="str">
        <x:f>IF(G82=200,"已恢复",IF(G82&gt;=500,"待部署修复","需复核"))</x:f>
        <x:v>已恢复</x:v>
      </x:c>
      <x:c r="I82" s="101" t="n">
        <x:v>245</x:v>
      </x:c>
      <x:c r="J82" s="105" t="str">
        <x:v>https://search.google.com/search-console?resource_id=sc-domain%3Aphwalls.com</x:v>
      </x:c>
    </x:row>
    <x:row r="83">
      <x:c r="A83" s="105" t="str">
        <x:v>https://phwalls.com/&amp;</x:v>
      </x:c>
      <x:c r="B83" s="97" t="n">
        <x:v>46107</x:v>
      </x:c>
      <x:c r="C83" s="105" t="str">
        <x:v>验证已开始</x:v>
      </x:c>
      <x:c r="D83" s="113" t="n">
        <x:v>46240.302777777775</x:v>
      </x:c>
      <x:c r="E83" s="114" t="n">
        <x:v>308</x:v>
      </x:c>
      <x:c r="F83" s="114" t="str">
        <x:v>https://phwalls.com/zh/&amp;</x:v>
      </x:c>
      <x:c r="G83" s="114" t="n">
        <x:v>500</x:v>
      </x:c>
      <x:c r="H83" s="105" t="str">
        <x:f>IF(G83=200,"已恢复",IF(G83&gt;=500,"待部署修复","需复核"))</x:f>
        <x:v>待部署修复</x:v>
      </x:c>
      <x:c r="I83" s="101" t="n">
        <x:v>226</x:v>
      </x:c>
      <x:c r="J83" s="105" t="str">
        <x:v>https://search.google.com/search-console?resource_id=sc-domain%3Aphwalls.com</x:v>
      </x:c>
    </x:row>
  </x:sheetData>
  <x:mergeCells>
    <x:mergeCell ref="A1:J1"/>
    <x:mergeCell ref="A2:J2"/>
  </x:mergeCells>
  <x:conditionalFormatting sqref="H5:H83">
    <x:cfRule type="containsText" dxfId="2" priority="1" operator="containsText" text="已恢复"/>
    <x:cfRule type="containsText" dxfId="3" priority="2" operator="containsText" text="待部署修复"/>
  </x:conditionalFormatting>
  <x:pageMargins left="0.7" right="0.7" top="0.75" bottom="0.75" header="0.3" footer="0.3"/>
  <x:tableParts count="1">
    <x:tablePart xmlns:r="http://schemas.openxmlformats.org/officeDocument/2006/relationships" r:id="Rc58aac429f6049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76" t="str">
        <x:v>GA4 Direct 流量诊断</x:v>
      </x:c>
      <x:c r="B1" s="76" t="str">
        <x:v>GA4 Direct 流量诊断</x:v>
      </x:c>
      <x:c r="C1" s="76" t="str">
        <x:v>GA4 Direct 流量诊断</x:v>
      </x:c>
      <x:c r="D1" s="76" t="str">
        <x:v>GA4 Direct 流量诊断</x:v>
      </x:c>
      <x:c r="E1" s="76" t="str">
        <x:v>GA4 Direct 流量诊断</x:v>
      </x:c>
      <x:c r="F1" s="76" t="str">
        <x:v>GA4 Direct 流量诊断</x:v>
      </x:c>
      <x:c r="G1" s="76" t="str">
        <x:v>GA4 Direct 流量诊断</x:v>
      </x:c>
      <x:c r="H1" s="76" t="str">
        <x:v>GA4 Direct 流量诊断</x:v>
      </x:c>
      <x:c r="I1" s="76" t="str">
        <x:v>GA4 Direct 流量诊断</x:v>
      </x:c>
      <x:c r="J1" s="76" t="str">
        <x:v>GA4 Direct 流量诊断</x:v>
      </x:c>
      <x:c r="K1" s="76" t="str">
        <x:v>GA4 Direct 流量诊断</x:v>
      </x:c>
      <x:c r="L1" s="76" t="str">
        <x:v>GA4 Direct 流量诊断</x:v>
      </x:c>
      <x:c r="M1" s="76" t="str">
        <x:v>GA4 Direct 流量诊断</x:v>
      </x:c>
    </x:row>
    <x:row r="2">
      <x:c r="A2" s="87" t="str">
        <x:v>探索：PhWalls Direct 流量诊断（过去 28 天）。Direct 不等于真实直接输入网址，可能包含内部访问、无 referrer 的 App/聊天工具、错误 UTM 或数据中心流量。</x:v>
      </x:c>
      <x:c r="B2" s="87" t="str">
        <x:v>探索：PhWalls Direct 流量诊断（过去 28 天）。Direct 不等于真实直接输入网址，可能包含内部访问、无 referrer 的 App/聊天工具、错误 UTM 或数据中心流量。</x:v>
      </x:c>
      <x:c r="C2" s="87" t="str">
        <x:v>探索：PhWalls Direct 流量诊断（过去 28 天）。Direct 不等于真实直接输入网址，可能包含内部访问、无 referrer 的 App/聊天工具、错误 UTM 或数据中心流量。</x:v>
      </x:c>
      <x:c r="D2" s="87" t="str">
        <x:v>探索：PhWalls Direct 流量诊断（过去 28 天）。Direct 不等于真实直接输入网址，可能包含内部访问、无 referrer 的 App/聊天工具、错误 UTM 或数据中心流量。</x:v>
      </x:c>
      <x:c r="E2" s="87" t="str">
        <x:v>探索：PhWalls Direct 流量诊断（过去 28 天）。Direct 不等于真实直接输入网址，可能包含内部访问、无 referrer 的 App/聊天工具、错误 UTM 或数据中心流量。</x:v>
      </x:c>
      <x:c r="F2" s="87" t="str">
        <x:v>探索：PhWalls Direct 流量诊断（过去 28 天）。Direct 不等于真实直接输入网址，可能包含内部访问、无 referrer 的 App/聊天工具、错误 UTM 或数据中心流量。</x:v>
      </x:c>
      <x:c r="G2" s="87" t="str">
        <x:v>探索：PhWalls Direct 流量诊断（过去 28 天）。Direct 不等于真实直接输入网址，可能包含内部访问、无 referrer 的 App/聊天工具、错误 UTM 或数据中心流量。</x:v>
      </x:c>
      <x:c r="H2" s="87" t="str">
        <x:v>探索：PhWalls Direct 流量诊断（过去 28 天）。Direct 不等于真实直接输入网址，可能包含内部访问、无 referrer 的 App/聊天工具、错误 UTM 或数据中心流量。</x:v>
      </x:c>
      <x:c r="I2" s="87" t="str">
        <x:v>探索：PhWalls Direct 流量诊断（过去 28 天）。Direct 不等于真实直接输入网址，可能包含内部访问、无 referrer 的 App/聊天工具、错误 UTM 或数据中心流量。</x:v>
      </x:c>
      <x:c r="J2" s="87" t="str">
        <x:v>探索：PhWalls Direct 流量诊断（过去 28 天）。Direct 不等于真实直接输入网址，可能包含内部访问、无 referrer 的 App/聊天工具、错误 UTM 或数据中心流量。</x:v>
      </x:c>
      <x:c r="K2" s="87" t="str">
        <x:v>探索：PhWalls Direct 流量诊断（过去 28 天）。Direct 不等于真实直接输入网址，可能包含内部访问、无 referrer 的 App/聊天工具、错误 UTM 或数据中心流量。</x:v>
      </x:c>
      <x:c r="L2" s="87" t="str">
        <x:v>探索：PhWalls Direct 流量诊断（过去 28 天）。Direct 不等于真实直接输入网址，可能包含内部访问、无 referrer 的 App/聊天工具、错误 UTM 或数据中心流量。</x:v>
      </x:c>
      <x:c r="M2" s="87" t="str">
        <x:v>探索：PhWalls Direct 流量诊断（过去 28 天）。Direct 不等于真实直接输入网址，可能包含内部访问、无 referrer 的 App/聊天工具、错误 UTM 或数据中心流量。</x:v>
      </x:c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</x:row>
    <x:row r="4" ht="28" customHeight="1">
      <x:c r="A4" s="89" t="str">
        <x:v>指标</x:v>
      </x:c>
      <x:c r="B4" s="91" t="str">
        <x:v>数值</x:v>
      </x:c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</x:row>
    <x:row r="5">
      <x:c r="A5" s="104" t="str">
        <x:v>过去 7 天 Direct 会话占比</x:v>
      </x:c>
      <x:c r="B5" s="94" t="n">
        <x:v>0.8285806869734283</x:v>
      </x:c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</x:row>
    <x:row r="6">
      <x:c r="A6" s="105" t="str">
        <x:v>过去 28 天 Direct 活跃用户</x:v>
      </x:c>
      <x:c r="B6" s="105" t="n">
        <x:v>7323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</x:row>
    <x:row r="8" ht="28" customHeight="1">
      <x:c r="A8" s="89" t="str">
        <x:v>国家/地区</x:v>
      </x:c>
      <x:c r="B8" s="90" t="str">
        <x:v>desktop</x:v>
      </x:c>
      <x:c r="C8" s="90" t="str">
        <x:v>mobile</x:v>
      </x:c>
      <x:c r="D8" s="90" t="str">
        <x:v>tablet</x:v>
      </x:c>
      <x:c r="E8" s="90" t="str">
        <x:v>smart tv</x:v>
      </x:c>
      <x:c r="F8" s="91" t="str">
        <x:v>总计</x:v>
      </x:c>
      <x:c r="G8" s="88"/>
      <x:c r="H8" s="89" t="str">
        <x:v>着陆页</x:v>
      </x:c>
      <x:c r="I8" s="90" t="str">
        <x:v>desktop</x:v>
      </x:c>
      <x:c r="J8" s="90" t="str">
        <x:v>mobile</x:v>
      </x:c>
      <x:c r="K8" s="90" t="str">
        <x:v>tablet</x:v>
      </x:c>
      <x:c r="L8" s="90" t="str">
        <x:v>smart tv</x:v>
      </x:c>
      <x:c r="M8" s="91" t="str">
        <x:v>总计</x:v>
      </x:c>
    </x:row>
    <x:row r="9">
      <x:c r="A9" s="104" t="str">
        <x:v>China</x:v>
      </x:c>
      <x:c r="B9" s="104" t="n">
        <x:v>1370</x:v>
      </x:c>
      <x:c r="C9" s="104" t="n">
        <x:v>2236</x:v>
      </x:c>
      <x:c r="D9" s="104" t="n">
        <x:v>93</x:v>
      </x:c>
      <x:c r="E9" s="104" t="n">
        <x:v>0</x:v>
      </x:c>
      <x:c r="F9" s="104" t="n">
        <x:v>3688</x:v>
      </x:c>
      <x:c r="G9" s="88"/>
      <x:c r="H9" s="104" t="str">
        <x:v>/zh</x:v>
      </x:c>
      <x:c r="I9" s="104" t="n">
        <x:v>1335</x:v>
      </x:c>
      <x:c r="J9" s="104" t="n">
        <x:v>1951</x:v>
      </x:c>
      <x:c r="K9" s="104" t="n">
        <x:v>89</x:v>
      </x:c>
      <x:c r="L9" s="104" t="n">
        <x:v>0</x:v>
      </x:c>
      <x:c r="M9" s="104" t="n">
        <x:v>3369</x:v>
      </x:c>
    </x:row>
    <x:row r="10">
      <x:c r="A10" s="110" t="str">
        <x:v>Singapore</x:v>
      </x:c>
      <x:c r="B10" s="110" t="n">
        <x:v>2053</x:v>
      </x:c>
      <x:c r="C10" s="110" t="n">
        <x:v>19</x:v>
      </x:c>
      <x:c r="D10" s="110" t="n">
        <x:v>2</x:v>
      </x:c>
      <x:c r="E10" s="110" t="n">
        <x:v>0</x:v>
      </x:c>
      <x:c r="F10" s="110" t="n">
        <x:v>2074</x:v>
      </x:c>
      <x:c r="G10" s="88"/>
      <x:c r="H10" s="105" t="str">
        <x:v>/en</x:v>
      </x:c>
      <x:c r="I10" s="105" t="n">
        <x:v>387</x:v>
      </x:c>
      <x:c r="J10" s="105" t="n">
        <x:v>642</x:v>
      </x:c>
      <x:c r="K10" s="105" t="n">
        <x:v>32</x:v>
      </x:c>
      <x:c r="L10" s="105" t="n">
        <x:v>1</x:v>
      </x:c>
      <x:c r="M10" s="105" t="n">
        <x:v>1058</x:v>
      </x:c>
    </x:row>
    <x:row r="11">
      <x:c r="A11" s="105" t="str">
        <x:v>India</x:v>
      </x:c>
      <x:c r="B11" s="105" t="n">
        <x:v>125</x:v>
      </x:c>
      <x:c r="C11" s="105" t="n">
        <x:v>288</x:v>
      </x:c>
      <x:c r="D11" s="105" t="n">
        <x:v>12</x:v>
      </x:c>
      <x:c r="E11" s="105" t="n">
        <x:v>0</x:v>
      </x:c>
      <x:c r="F11" s="105" t="n">
        <x:v>421</x:v>
      </x:c>
      <x:c r="G11" s="88"/>
      <x:c r="H11" s="105" t="str">
        <x:v>/zh-hant</x:v>
      </x:c>
      <x:c r="I11" s="105" t="n">
        <x:v>25</x:v>
      </x:c>
      <x:c r="J11" s="105" t="n">
        <x:v>58</x:v>
      </x:c>
      <x:c r="K11" s="105" t="n">
        <x:v>4</x:v>
      </x:c>
      <x:c r="L11" s="105" t="n">
        <x:v>0</x:v>
      </x:c>
      <x:c r="M11" s="105" t="n">
        <x:v>87</x:v>
      </x:c>
    </x:row>
    <x:row r="12">
      <x:c r="A12" s="105" t="str">
        <x:v>United States</x:v>
      </x:c>
      <x:c r="B12" s="105" t="n">
        <x:v>155</x:v>
      </x:c>
      <x:c r="C12" s="105" t="n">
        <x:v>93</x:v>
      </x:c>
      <x:c r="D12" s="105" t="n">
        <x:v>0</x:v>
      </x:c>
      <x:c r="E12" s="105" t="n">
        <x:v>0</x:v>
      </x:c>
      <x:c r="F12" s="105" t="n">
        <x:v>248</x:v>
      </x:c>
      <x:c r="G12" s="88"/>
      <x:c r="H12" s="105" t="str">
        <x:v>/zh/xiaomi</x:v>
      </x:c>
      <x:c r="I12" s="105" t="n">
        <x:v>20</x:v>
      </x:c>
      <x:c r="J12" s="105" t="n">
        <x:v>51</x:v>
      </x:c>
      <x:c r="K12" s="105" t="n">
        <x:v>1</x:v>
      </x:c>
      <x:c r="L12" s="105" t="n">
        <x:v>0</x:v>
      </x:c>
      <x:c r="M12" s="105" t="n">
        <x:v>71</x:v>
      </x:c>
    </x:row>
    <x:row r="13">
      <x:c r="A13" s="105" t="str">
        <x:v>Japan</x:v>
      </x:c>
      <x:c r="B13" s="105" t="n">
        <x:v>83</x:v>
      </x:c>
      <x:c r="C13" s="105" t="n">
        <x:v>59</x:v>
      </x:c>
      <x:c r="D13" s="105" t="n">
        <x:v>8</x:v>
      </x:c>
      <x:c r="E13" s="105" t="n">
        <x:v>0</x:v>
      </x:c>
      <x:c r="F13" s="105" t="n">
        <x:v>150</x:v>
      </x:c>
      <x:c r="G13" s="88"/>
      <x:c r="H13" s="105" t="str">
        <x:v>/zh/about</x:v>
      </x:c>
      <x:c r="I13" s="105" t="n">
        <x:v>36</x:v>
      </x:c>
      <x:c r="J13" s="105" t="n">
        <x:v>32</x:v>
      </x:c>
      <x:c r="K13" s="105" t="n">
        <x:v>0</x:v>
      </x:c>
      <x:c r="L13" s="105" t="n">
        <x:v>0</x:v>
      </x:c>
      <x:c r="M13" s="105" t="n">
        <x:v>68</x:v>
      </x:c>
    </x:row>
    <x:row r="14">
      <x:c r="A14" s="105" t="str">
        <x:v>Hong Kong</x:v>
      </x:c>
      <x:c r="B14" s="105" t="n">
        <x:v>64</x:v>
      </x:c>
      <x:c r="C14" s="105" t="n">
        <x:v>40</x:v>
      </x:c>
      <x:c r="D14" s="105" t="n">
        <x:v>3</x:v>
      </x:c>
      <x:c r="E14" s="105" t="n">
        <x:v>0</x:v>
      </x:c>
      <x:c r="F14" s="105" t="n">
        <x:v>107</x:v>
      </x:c>
      <x:c r="G14" s="88"/>
      <x:c r="H14" s="105" t="str">
        <x:v>/zh/samsung</x:v>
      </x:c>
      <x:c r="I14" s="105" t="n">
        <x:v>9</x:v>
      </x:c>
      <x:c r="J14" s="105" t="n">
        <x:v>55</x:v>
      </x:c>
      <x:c r="K14" s="105" t="n">
        <x:v>1</x:v>
      </x:c>
      <x:c r="L14" s="105" t="n">
        <x:v>0</x:v>
      </x:c>
      <x:c r="M14" s="105" t="n">
        <x:v>65</x:v>
      </x:c>
    </x:row>
    <x:row r="15">
      <x:c r="A15" s="105" t="str">
        <x:v>Vietnam</x:v>
      </x:c>
      <x:c r="B15" s="105" t="n">
        <x:v>29</x:v>
      </x:c>
      <x:c r="C15" s="105" t="n">
        <x:v>36</x:v>
      </x:c>
      <x:c r="D15" s="105" t="n">
        <x:v>1</x:v>
      </x:c>
      <x:c r="E15" s="105" t="n">
        <x:v>0</x:v>
      </x:c>
      <x:c r="F15" s="105" t="n">
        <x:v>66</x:v>
      </x:c>
      <x:c r="G15" s="88"/>
      <x:c r="H15" s="105" t="str">
        <x:v>(not set)</x:v>
      </x:c>
      <x:c r="I15" s="105" t="n">
        <x:v>50</x:v>
      </x:c>
      <x:c r="J15" s="105" t="n">
        <x:v>13</x:v>
      </x:c>
      <x:c r="K15" s="105" t="n">
        <x:v>1</x:v>
      </x:c>
      <x:c r="L15" s="105" t="n">
        <x:v>0</x:v>
      </x:c>
      <x:c r="M15" s="105" t="n">
        <x:v>64</x:v>
      </x:c>
    </x:row>
    <x:row r="16">
      <x:c r="A16" s="105" t="str">
        <x:v>Indonesia</x:v>
      </x:c>
      <x:c r="B16" s="105" t="n">
        <x:v>18</x:v>
      </x:c>
      <x:c r="C16" s="105" t="n">
        <x:v>25</x:v>
      </x:c>
      <x:c r="D16" s="105" t="n">
        <x:v>1</x:v>
      </x:c>
      <x:c r="E16" s="105" t="n">
        <x:v>0</x:v>
      </x:c>
      <x:c r="F16" s="105" t="n">
        <x:v>44</x:v>
      </x:c>
      <x:c r="G16" s="88"/>
      <x:c r="H16" s="105" t="str">
        <x:v>/ja</x:v>
      </x:c>
      <x:c r="I16" s="105" t="n">
        <x:v>33</x:v>
      </x:c>
      <x:c r="J16" s="105" t="n">
        <x:v>16</x:v>
      </x:c>
      <x:c r="K16" s="105" t="n">
        <x:v>8</x:v>
      </x:c>
      <x:c r="L16" s="105" t="n">
        <x:v>0</x:v>
      </x:c>
      <x:c r="M16" s="105" t="n">
        <x:v>57</x:v>
      </x:c>
    </x:row>
    <x:row r="17">
      <x:c r="A17" s="105" t="str">
        <x:v>Mexico</x:v>
      </x:c>
      <x:c r="B17" s="105" t="n">
        <x:v>10</x:v>
      </x:c>
      <x:c r="C17" s="105" t="n">
        <x:v>30</x:v>
      </x:c>
      <x:c r="D17" s="105" t="n">
        <x:v>1</x:v>
      </x:c>
      <x:c r="E17" s="105" t="n">
        <x:v>0</x:v>
      </x:c>
      <x:c r="F17" s="105" t="n">
        <x:v>41</x:v>
      </x:c>
      <x:c r="G17" s="88"/>
      <x:c r="H17" s="105" t="str">
        <x:v>/zh/huawei</x:v>
      </x:c>
      <x:c r="I17" s="105" t="n">
        <x:v>19</x:v>
      </x:c>
      <x:c r="J17" s="105" t="n">
        <x:v>24</x:v>
      </x:c>
      <x:c r="K17" s="105" t="n">
        <x:v>0</x:v>
      </x:c>
      <x:c r="L17" s="105" t="n">
        <x:v>0</x:v>
      </x:c>
      <x:c r="M17" s="105" t="n">
        <x:v>41</x:v>
      </x:c>
    </x:row>
    <x:row r="18">
      <x:c r="A18" s="105" t="str">
        <x:v>Germany</x:v>
      </x:c>
      <x:c r="B18" s="105" t="n">
        <x:v>20</x:v>
      </x:c>
      <x:c r="C18" s="105" t="n">
        <x:v>17</x:v>
      </x:c>
      <x:c r="D18" s="105" t="n">
        <x:v>1</x:v>
      </x:c>
      <x:c r="E18" s="105" t="n">
        <x:v>0</x:v>
      </x:c>
      <x:c r="F18" s="105" t="n">
        <x:v>38</x:v>
      </x:c>
      <x:c r="G18" s="88"/>
      <x:c r="H18" s="105" t="str">
        <x:v>/vi</x:v>
      </x:c>
      <x:c r="I18" s="105" t="n">
        <x:v>7</x:v>
      </x:c>
      <x:c r="J18" s="105" t="n">
        <x:v>30</x:v>
      </x:c>
      <x:c r="K18" s="105" t="n">
        <x:v>0</x:v>
      </x:c>
      <x:c r="L18" s="105" t="n">
        <x:v>0</x:v>
      </x:c>
      <x:c r="M18" s="105" t="n">
        <x:v>37</x:v>
      </x:c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</x:row>
    <x:row r="20">
      <x:c r="A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B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C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D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E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F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G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H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I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J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K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L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M20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</x:row>
    <x:row r="21">
      <x:c r="A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B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C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D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E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F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G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H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I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J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K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L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  <x:c r="M21" s="87" t="str">
        <x:v>重点判断：Singapore 的 Direct 活跃用户中 desktop 为 2,053/2,074（约 99%），异常集中；先核对内部公网 IP/办公出口与数据中心流量，再检查外部链接是否缺少 UTM。GA4 的 Internal Traffic 过滤器当前为“测试”，但尚无 IP 规则，不能直接启用。来源：https://analytics.google.com/analytics/web/?hl=zh-cn#/a369214700p530209146/explore</x:v>
      </x:c>
    </x:row>
  </x:sheetData>
  <x:mergeCells>
    <x:mergeCell ref="A1:M1"/>
    <x:mergeCell ref="A2:M2"/>
    <x:mergeCell ref="A20:M21"/>
  </x:mergeCells>
  <x:pageMargins left="0.7" right="0.7" top="0.75" bottom="0.75" header="0.3" footer="0.3"/>
  <x:tableParts count="2">
    <x:tablePart xmlns:r="http://schemas.openxmlformats.org/officeDocument/2006/relationships" r:id="Rbd7e215fdf38454d"/>
    <x:tablePart xmlns:r="http://schemas.openxmlformats.org/officeDocument/2006/relationships" r:id="Rf2ba959ebba943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48" hidden="0" customWidth="1"/>
  </x:cols>
  <x:sheetData>
    <x:row r="1" ht="34" customHeight="1">
      <x:c r="A1" s="76" t="str">
        <x:v>执行说明与验收标准</x:v>
      </x:c>
      <x:c r="B1" s="76" t="str">
        <x:v>执行说明与验收标准</x:v>
      </x:c>
      <x:c r="C1" s="76" t="str">
        <x:v>执行说明与验收标准</x:v>
      </x:c>
      <x:c r="D1" s="76" t="str">
        <x:v>执行说明与验收标准</x:v>
      </x:c>
      <x:c r="E1" s="76" t="str">
        <x:v>执行说明与验收标准</x:v>
      </x:c>
      <x:c r="F1" s="76" t="str">
        <x:v>执行说明与验收标准</x:v>
      </x:c>
    </x:row>
    <x:row r="2">
      <x:c r="A2" s="88"/>
      <x:c r="B2" s="88"/>
      <x:c r="C2" s="88"/>
      <x:c r="D2" s="88"/>
      <x:c r="E2" s="88"/>
      <x:c r="F2" s="88"/>
    </x:row>
    <x:row r="3" ht="28" customHeight="1">
      <x:c r="A3" s="89" t="str">
        <x:v>具体动作</x:v>
      </x:c>
      <x:c r="B3" s="90" t="str">
        <x:v>目的</x:v>
      </x:c>
      <x:c r="C3" s="90" t="str">
        <x:v>当前状态</x:v>
      </x:c>
      <x:c r="D3" s="90" t="str">
        <x:v>每周操作</x:v>
      </x:c>
      <x:c r="E3" s="90" t="str">
        <x:v>完成标准</x:v>
      </x:c>
      <x:c r="F3" s="91" t="str">
        <x:v>来源/入口</x:v>
      </x:c>
    </x:row>
    <x:row r="4" ht="60" customHeight="1">
      <x:c r="A4" s="115" t="str">
        <x:v>GA4 下载成功关键事件</x:v>
      </x:c>
      <x:c r="B4" s="115" t="str">
        <x:v>用下载成功衡量真实转化</x:v>
      </x:c>
      <x:c r="C4" s="115" t="str">
        <x:v>已完成：w_wallpaper_download_success</x:v>
      </x:c>
      <x:c r="D4" s="115" t="str">
        <x:v>按页面、渠道、国家查看关键事件数和用户关键事件率</x:v>
      </x:c>
      <x:c r="E4" s="115" t="str">
        <x:v>可稳定查看下载成功数与转化率</x:v>
      </x:c>
      <x:c r="F4" s="115" t="str">
        <x:v>https://analytics.google.com/analytics/web/?hl=zh-cn#/a369214700p530209146/admin/events</x:v>
      </x:c>
    </x:row>
    <x:row r="5" ht="60" customHeight="1">
      <x:c r="A5" s="103" t="str">
        <x:v>下载漏斗</x:v>
      </x:c>
      <x:c r="B5" s="103" t="str">
        <x:v>定位 page_view 到下载成功的流失点</x:v>
      </x:c>
      <x:c r="C5" s="103" t="str">
        <x:v>已完成：PhWalls 下载转化漏斗</x:v>
      </x:c>
      <x:c r="D5" s="103" t="str">
        <x:v>每周查看页面→预览→点击→成功各步转化</x:v>
      </x:c>
      <x:c r="E5" s="103" t="str">
        <x:v>四个步骤都有稳定事件数据</x:v>
      </x:c>
      <x:c r="F5" s="103" t="str">
        <x:v>https://analytics.google.com/analytics/web/?hl=zh-cn#/a369214700p530209146/explore</x:v>
      </x:c>
    </x:row>
    <x:row r="6" ht="60" customHeight="1">
      <x:c r="A6" s="116" t="str">
        <x:v>GSC 5xx</x:v>
      </x:c>
      <x:c r="B6" s="116" t="str">
        <x:v>避免 Google 抓取服务器错误</x:v>
      </x:c>
      <x:c r="C6" s="116" t="str">
        <x:v>78/79 已恢复；/&amp; 待部署修复</x:v>
      </x:c>
      <x:c r="D6" s="116" t="str">
        <x:v>部署后复测 /&amp;，随后观察 GSC 验证</x:v>
      </x:c>
      <x:c r="E6" s="116" t="str">
        <x:v>全部示例非 5xx，GSC 验证通过</x:v>
      </x:c>
      <x:c r="F6" s="116" t="str">
        <x:v>https://search.google.com/search-console?resource_id=sc-domain%3Aphwalls.com</x:v>
      </x:c>
    </x:row>
    <x:row r="7" ht="60" customHeight="1">
      <x:c r="A7" s="103" t="str">
        <x:v>Cloudflare 错误</x:v>
      </x:c>
      <x:c r="B7" s="103" t="str">
        <x:v>确认运行时错误和 CPU 超时是否复发</x:v>
      </x:c>
      <x:c r="C7" s="103" t="str">
        <x:v>近 7 天 263,137 次成功、0 错误、0 CPU 超时</x:v>
      </x:c>
      <x:c r="D7" s="103" t="str">
        <x:v>每周查看 Pages → 指标 → 过去 7 天</x:v>
      </x:c>
      <x:c r="E7" s="103" t="str">
        <x:v>错误持续为 0；异常时按 URL 与时间定位</x:v>
      </x:c>
      <x:c r="F7" s="103" t="str">
        <x:v>https://dash.cloudflare.com/1328fc1b27381cdb564f60ff1d27fc24/pages/view/phwalls</x:v>
      </x:c>
    </x:row>
    <x:row r="8" ht="60" customHeight="1">
      <x:c r="A8" s="116" t="str">
        <x:v>内部流量排除</x:v>
      </x:c>
      <x:c r="B8" s="116" t="str">
        <x:v>避免员工访问污染 Direct</x:v>
      </x:c>
      <x:c r="C8" s="116" t="str">
        <x:v>待用户提供公网 IP/CIDR；过滤器保持测试</x:v>
      </x:c>
      <x:c r="D8" s="116" t="str">
        <x:v>创建规则后先用测试数据过滤器验证，再改有效</x:v>
      </x:c>
      <x:c r="E8" s="116" t="str">
        <x:v>内部 IP 不进入正式数据且不误伤真实用户</x:v>
      </x:c>
      <x:c r="F8" s="116" t="str">
        <x:v>GA4 管理 → 数据流 → Google 代码 → 指定内部流量</x:v>
      </x:c>
    </x:row>
    <x:row r="9" ht="60" customHeight="1">
      <x:c r="A9" s="103" t="str">
        <x:v>Direct 来源诊断</x:v>
      </x:c>
      <x:c r="B9" s="103" t="str">
        <x:v>区分内部访问、来源丢失和真实直接访问</x:v>
      </x:c>
      <x:c r="C9" s="103" t="str">
        <x:v>已完成两张探索视图</x:v>
      </x:c>
      <x:c r="D9" s="103" t="str">
        <x:v>关注 Singapore desktop、(not set) 与首页着陆；外链统一 UTM</x:v>
      </x:c>
      <x:c r="E9" s="103" t="str">
        <x:v>Direct 占比及主要构成可解释</x:v>
      </x:c>
      <x:c r="F9" s="103" t="str">
        <x:v>GA4 探索：PhWalls Direct 流量诊断</x:v>
      </x:c>
    </x:row>
    <x:row r="10" ht="60" customHeight="1">
      <x:c r="A10" s="103" t="str">
        <x:v>每周 GSC 数据</x:v>
      </x:c>
      <x:c r="B10" s="103" t="str">
        <x:v>避免品牌词和热点掩盖长期增长</x:v>
      </x:c>
      <x:c r="C10" s="103" t="str">
        <x:v>已建立并填入首周基线</x:v>
      </x:c>
      <x:c r="D10" s="103" t="str">
        <x:v>每周追加总览、查询、页面数据并补页面上线日期</x:v>
      </x:c>
      <x:c r="E10" s="103" t="str">
        <x:v>可独立查看品牌/非品牌、新/旧页面和周环比</x:v>
      </x:c>
      <x:c r="F10" s="103" t="str">
        <x:v>本工作簿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5643c6be3ee4235"/>
  </x:tableParts>
</x:worksheet>
</file>